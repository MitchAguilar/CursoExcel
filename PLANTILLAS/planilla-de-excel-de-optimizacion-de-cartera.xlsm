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ecilia\Downloads\"/>
    </mc:Choice>
  </mc:AlternateContent>
  <bookViews>
    <workbookView xWindow="0" yWindow="0" windowWidth="20490" windowHeight="7455"/>
  </bookViews>
  <sheets>
    <sheet name="Cantidad de Acciones" sheetId="2" r:id="rId1"/>
    <sheet name="Cotizaciones" sheetId="1" r:id="rId2"/>
    <sheet name="Riesgo Mínimo" sheetId="3" r:id="rId3"/>
    <sheet name="Rendimiento Máximo" sheetId="4" r:id="rId4"/>
  </sheets>
  <definedNames>
    <definedName name="Cotizaciones">Cotizaciones!$C$9:$BA$304</definedName>
    <definedName name="solver_adj" localSheetId="3" hidden="1">'Rendimiento Máximo'!$M$12:$M$21</definedName>
    <definedName name="solver_adj" localSheetId="2" hidden="1">'Riesgo Mínimo'!$M$12:$M$21</definedName>
    <definedName name="solver_cvg" localSheetId="3" hidden="1">0.0001</definedName>
    <definedName name="solver_cvg" localSheetId="2" hidden="1">0.0001</definedName>
    <definedName name="solver_drv" localSheetId="3" hidden="1">2</definedName>
    <definedName name="solver_drv" localSheetId="2" hidden="1">2</definedName>
    <definedName name="solver_eng" localSheetId="3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itr" localSheetId="3" hidden="1">2147483647</definedName>
    <definedName name="solver_itr" localSheetId="2" hidden="1">2147483647</definedName>
    <definedName name="solver_lhs1" localSheetId="3" hidden="1">'Rendimiento Máximo'!$M$12:$M$21</definedName>
    <definedName name="solver_lhs1" localSheetId="2" hidden="1">'Riesgo Mínimo'!$M$12:$M$21</definedName>
    <definedName name="solver_lhs2" localSheetId="3" hidden="1">'Rendimiento Máximo'!$M$12:$M$21</definedName>
    <definedName name="solver_lhs2" localSheetId="2" hidden="1">'Riesgo Mínimo'!$M$12:$M$21</definedName>
    <definedName name="solver_lhs3" localSheetId="3" hidden="1">'Rendimiento Máximo'!$M$22</definedName>
    <definedName name="solver_lhs3" localSheetId="2" hidden="1">'Riesgo Mínimo'!$M$22</definedName>
    <definedName name="solver_lhs4" localSheetId="3" hidden="1">'Rendimiento Máximo'!$P$28</definedName>
    <definedName name="solver_lhs4" localSheetId="2" hidden="1">'Riesgo Mínimo'!$P$28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3" hidden="1">1</definedName>
    <definedName name="solver_neg" localSheetId="2" hidden="1">1</definedName>
    <definedName name="solver_nod" localSheetId="3" hidden="1">2147483647</definedName>
    <definedName name="solver_nod" localSheetId="2" hidden="1">2147483647</definedName>
    <definedName name="solver_num" localSheetId="3" hidden="1">4</definedName>
    <definedName name="solver_num" localSheetId="2" hidden="1">4</definedName>
    <definedName name="solver_nwt" localSheetId="3" hidden="1">1</definedName>
    <definedName name="solver_nwt" localSheetId="2" hidden="1">1</definedName>
    <definedName name="solver_opt" localSheetId="3" hidden="1">'Rendimiento Máximo'!$P$26</definedName>
    <definedName name="solver_opt" localSheetId="2" hidden="1">'Riesgo Mínimo'!$P$27</definedName>
    <definedName name="solver_pre" localSheetId="3" hidden="1">0.000001</definedName>
    <definedName name="solver_pre" localSheetId="2" hidden="1">0.000001</definedName>
    <definedName name="solver_rbv" localSheetId="3" hidden="1">2</definedName>
    <definedName name="solver_rbv" localSheetId="2" hidden="1">2</definedName>
    <definedName name="solver_rel1" localSheetId="3" hidden="1">3</definedName>
    <definedName name="solver_rel1" localSheetId="2" hidden="1">3</definedName>
    <definedName name="solver_rel2" localSheetId="3" hidden="1">1</definedName>
    <definedName name="solver_rel2" localSheetId="2" hidden="1">1</definedName>
    <definedName name="solver_rel3" localSheetId="3" hidden="1">2</definedName>
    <definedName name="solver_rel3" localSheetId="2" hidden="1">2</definedName>
    <definedName name="solver_rel4" localSheetId="3" hidden="1">3</definedName>
    <definedName name="solver_rel4" localSheetId="2" hidden="1">1</definedName>
    <definedName name="solver_rhs1" localSheetId="3" hidden="1">'Rendimiento Máximo'!$P$12:$P$21</definedName>
    <definedName name="solver_rhs1" localSheetId="2" hidden="1">'Riesgo Mínimo'!$P$12:$P$21</definedName>
    <definedName name="solver_rhs2" localSheetId="3" hidden="1">'Rendimiento Máximo'!$Q$12:$Q$21</definedName>
    <definedName name="solver_rhs2" localSheetId="2" hidden="1">'Riesgo Mínimo'!$Q$12:$Q$21</definedName>
    <definedName name="solver_rhs3" localSheetId="3" hidden="1">'Rendimiento Máximo'!$N$22</definedName>
    <definedName name="solver_rhs3" localSheetId="2" hidden="1">'Riesgo Mínimo'!$N$22</definedName>
    <definedName name="solver_rhs4" localSheetId="3" hidden="1">'Rendimiento Máximo'!$P$27</definedName>
    <definedName name="solver_rhs4" localSheetId="2" hidden="1">'Riesgo Mínimo'!$P$26</definedName>
    <definedName name="solver_rlx" localSheetId="3" hidden="1">2</definedName>
    <definedName name="solver_rlx" localSheetId="2" hidden="1">2</definedName>
    <definedName name="solver_rsd" localSheetId="3" hidden="1">0</definedName>
    <definedName name="solver_rsd" localSheetId="2" hidden="1">0</definedName>
    <definedName name="solver_scl" localSheetId="3" hidden="1">2</definedName>
    <definedName name="solver_scl" localSheetId="2" hidden="1">2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2147483647</definedName>
    <definedName name="solver_tim" localSheetId="2" hidden="1">2147483647</definedName>
    <definedName name="solver_tol" localSheetId="3" hidden="1">0.01</definedName>
    <definedName name="solver_tol" localSheetId="2" hidden="1">0.01</definedName>
    <definedName name="solver_typ" localSheetId="3" hidden="1">1</definedName>
    <definedName name="solver_typ" localSheetId="2" hidden="1">2</definedName>
    <definedName name="solver_val" localSheetId="3" hidden="1">0</definedName>
    <definedName name="solver_val" localSheetId="2" hidden="1">0</definedName>
    <definedName name="solver_ver" localSheetId="3" hidden="1">3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4" l="1"/>
  <c r="M22" i="3"/>
  <c r="K10" i="1" l="1"/>
  <c r="L10" i="1"/>
  <c r="K11" i="1"/>
  <c r="L11" i="1" s="1"/>
  <c r="K12" i="1"/>
  <c r="K13" i="1"/>
  <c r="L13" i="1"/>
  <c r="L12" i="1" l="1"/>
  <c r="N21" i="4" l="1"/>
  <c r="L21" i="4"/>
  <c r="D21" i="4" s="1"/>
  <c r="L20" i="4"/>
  <c r="D20" i="4" s="1"/>
  <c r="L19" i="4"/>
  <c r="D19" i="4" s="1"/>
  <c r="L18" i="4"/>
  <c r="D18" i="4" s="1"/>
  <c r="F18" i="4"/>
  <c r="N17" i="4"/>
  <c r="L17" i="4"/>
  <c r="D17" i="4" s="1"/>
  <c r="O16" i="4"/>
  <c r="L16" i="4"/>
  <c r="D16" i="4" s="1"/>
  <c r="L15" i="4"/>
  <c r="D15" i="4" s="1"/>
  <c r="G15" i="4"/>
  <c r="O14" i="4"/>
  <c r="L14" i="4"/>
  <c r="D14" i="4" s="1"/>
  <c r="L13" i="4"/>
  <c r="D13" i="4" s="1"/>
  <c r="O12" i="4"/>
  <c r="L12" i="4"/>
  <c r="D12" i="4" s="1"/>
  <c r="L7" i="4"/>
  <c r="N12" i="4" s="1"/>
  <c r="G12" i="4" l="1"/>
  <c r="N15" i="4"/>
  <c r="N19" i="4"/>
  <c r="F20" i="4"/>
  <c r="G20" i="4"/>
  <c r="N13" i="4"/>
  <c r="F16" i="4"/>
  <c r="G18" i="4"/>
  <c r="F14" i="4"/>
  <c r="G16" i="4"/>
  <c r="N20" i="4"/>
  <c r="O20" i="4"/>
  <c r="G14" i="4"/>
  <c r="O18" i="4"/>
  <c r="F12" i="4"/>
  <c r="N16" i="4"/>
  <c r="G19" i="4"/>
  <c r="F13" i="4"/>
  <c r="O15" i="4"/>
  <c r="F17" i="4"/>
  <c r="O19" i="4"/>
  <c r="F21" i="4"/>
  <c r="N14" i="4"/>
  <c r="G17" i="4"/>
  <c r="N18" i="4"/>
  <c r="G21" i="4"/>
  <c r="F15" i="4"/>
  <c r="O17" i="4"/>
  <c r="F19" i="4"/>
  <c r="O21" i="4"/>
  <c r="P26" i="4" l="1"/>
  <c r="E26" i="4"/>
  <c r="L7" i="3"/>
  <c r="F19" i="3" s="1"/>
  <c r="I26" i="4" l="1"/>
  <c r="J26" i="4" s="1"/>
  <c r="G19" i="3"/>
  <c r="F17" i="3"/>
  <c r="F12" i="3"/>
  <c r="G17" i="3"/>
  <c r="F20" i="3"/>
  <c r="G12" i="3"/>
  <c r="G20" i="3"/>
  <c r="F18" i="3"/>
  <c r="G18" i="3"/>
  <c r="F21" i="3"/>
  <c r="F16" i="3"/>
  <c r="G21" i="3"/>
  <c r="G16" i="3"/>
  <c r="AY13" i="1"/>
  <c r="AZ13" i="1"/>
  <c r="BA13" i="1"/>
  <c r="AY14" i="1"/>
  <c r="BA15" i="1" s="1"/>
  <c r="BA14" i="1"/>
  <c r="AY15" i="1"/>
  <c r="AZ15" i="1"/>
  <c r="AY16" i="1"/>
  <c r="AZ16" i="1" s="1"/>
  <c r="BA16" i="1"/>
  <c r="AY17" i="1"/>
  <c r="AZ17" i="1"/>
  <c r="BA17" i="1"/>
  <c r="AY18" i="1"/>
  <c r="AZ18" i="1" s="1"/>
  <c r="BA18" i="1"/>
  <c r="AY19" i="1"/>
  <c r="AZ19" i="1"/>
  <c r="AY20" i="1"/>
  <c r="BA21" i="1" s="1"/>
  <c r="AZ20" i="1"/>
  <c r="BA20" i="1"/>
  <c r="AY21" i="1"/>
  <c r="AZ21" i="1"/>
  <c r="AY22" i="1"/>
  <c r="BA23" i="1" s="1"/>
  <c r="BA22" i="1"/>
  <c r="AY23" i="1"/>
  <c r="AZ23" i="1"/>
  <c r="AY24" i="1"/>
  <c r="AZ24" i="1" s="1"/>
  <c r="BA24" i="1"/>
  <c r="AY25" i="1"/>
  <c r="AZ25" i="1"/>
  <c r="BA25" i="1"/>
  <c r="AY26" i="1"/>
  <c r="AZ26" i="1" s="1"/>
  <c r="BA26" i="1"/>
  <c r="AY27" i="1"/>
  <c r="AZ27" i="1"/>
  <c r="AY28" i="1"/>
  <c r="BA29" i="1" s="1"/>
  <c r="AZ28" i="1"/>
  <c r="BA28" i="1"/>
  <c r="AY29" i="1"/>
  <c r="AZ29" i="1"/>
  <c r="AY30" i="1"/>
  <c r="BA31" i="1" s="1"/>
  <c r="BA30" i="1"/>
  <c r="AY31" i="1"/>
  <c r="AZ31" i="1"/>
  <c r="AY32" i="1"/>
  <c r="AZ32" i="1" s="1"/>
  <c r="BA32" i="1"/>
  <c r="AY33" i="1"/>
  <c r="AZ33" i="1"/>
  <c r="BA33" i="1"/>
  <c r="AY34" i="1"/>
  <c r="AZ34" i="1" s="1"/>
  <c r="BA34" i="1"/>
  <c r="AY35" i="1"/>
  <c r="AZ35" i="1"/>
  <c r="AY36" i="1"/>
  <c r="BA37" i="1" s="1"/>
  <c r="AZ36" i="1"/>
  <c r="BA36" i="1"/>
  <c r="AY37" i="1"/>
  <c r="AZ37" i="1"/>
  <c r="AY38" i="1"/>
  <c r="BA39" i="1" s="1"/>
  <c r="BA38" i="1"/>
  <c r="AY39" i="1"/>
  <c r="AZ39" i="1"/>
  <c r="AY40" i="1"/>
  <c r="AZ40" i="1" s="1"/>
  <c r="BA40" i="1"/>
  <c r="AY41" i="1"/>
  <c r="AZ41" i="1"/>
  <c r="BA41" i="1"/>
  <c r="AY42" i="1"/>
  <c r="AZ42" i="1" s="1"/>
  <c r="BA42" i="1"/>
  <c r="AY43" i="1"/>
  <c r="AZ43" i="1"/>
  <c r="AY44" i="1"/>
  <c r="BA45" i="1" s="1"/>
  <c r="AZ44" i="1"/>
  <c r="BA44" i="1"/>
  <c r="AY45" i="1"/>
  <c r="AZ45" i="1"/>
  <c r="AY46" i="1"/>
  <c r="BA47" i="1" s="1"/>
  <c r="BA46" i="1"/>
  <c r="AY47" i="1"/>
  <c r="AZ47" i="1"/>
  <c r="AY48" i="1"/>
  <c r="AZ48" i="1" s="1"/>
  <c r="BA48" i="1"/>
  <c r="AY49" i="1"/>
  <c r="AZ49" i="1"/>
  <c r="BA49" i="1"/>
  <c r="AY50" i="1"/>
  <c r="AZ50" i="1" s="1"/>
  <c r="BA50" i="1"/>
  <c r="AY51" i="1"/>
  <c r="AZ51" i="1"/>
  <c r="AY52" i="1"/>
  <c r="BA53" i="1" s="1"/>
  <c r="AZ52" i="1"/>
  <c r="BA52" i="1"/>
  <c r="AY53" i="1"/>
  <c r="AZ53" i="1"/>
  <c r="AY54" i="1"/>
  <c r="BA55" i="1" s="1"/>
  <c r="BA54" i="1"/>
  <c r="AY55" i="1"/>
  <c r="AZ55" i="1"/>
  <c r="AY56" i="1"/>
  <c r="AZ56" i="1" s="1"/>
  <c r="BA56" i="1"/>
  <c r="AY57" i="1"/>
  <c r="AZ57" i="1"/>
  <c r="BA57" i="1"/>
  <c r="AY58" i="1"/>
  <c r="AZ58" i="1" s="1"/>
  <c r="BA58" i="1"/>
  <c r="AY59" i="1"/>
  <c r="AZ59" i="1"/>
  <c r="AY60" i="1"/>
  <c r="BA61" i="1" s="1"/>
  <c r="AZ60" i="1"/>
  <c r="BA60" i="1"/>
  <c r="AY61" i="1"/>
  <c r="AZ61" i="1"/>
  <c r="AY62" i="1"/>
  <c r="BA63" i="1" s="1"/>
  <c r="BA62" i="1"/>
  <c r="AY63" i="1"/>
  <c r="AZ63" i="1"/>
  <c r="AY64" i="1"/>
  <c r="AZ64" i="1" s="1"/>
  <c r="BA64" i="1"/>
  <c r="AY65" i="1"/>
  <c r="AZ65" i="1"/>
  <c r="BA65" i="1"/>
  <c r="AY66" i="1"/>
  <c r="AZ66" i="1" s="1"/>
  <c r="BA66" i="1"/>
  <c r="AY67" i="1"/>
  <c r="AZ67" i="1"/>
  <c r="AY68" i="1"/>
  <c r="BA69" i="1" s="1"/>
  <c r="AZ68" i="1"/>
  <c r="BA68" i="1"/>
  <c r="AY69" i="1"/>
  <c r="AZ69" i="1"/>
  <c r="AY70" i="1"/>
  <c r="BA71" i="1" s="1"/>
  <c r="BA70" i="1"/>
  <c r="AY71" i="1"/>
  <c r="AZ71" i="1"/>
  <c r="AY72" i="1"/>
  <c r="AZ72" i="1" s="1"/>
  <c r="BA72" i="1"/>
  <c r="AY73" i="1"/>
  <c r="AZ73" i="1"/>
  <c r="BA73" i="1"/>
  <c r="AY74" i="1"/>
  <c r="AZ74" i="1" s="1"/>
  <c r="BA74" i="1"/>
  <c r="AY75" i="1"/>
  <c r="AZ75" i="1"/>
  <c r="AY76" i="1"/>
  <c r="BA77" i="1" s="1"/>
  <c r="AZ76" i="1"/>
  <c r="BA76" i="1"/>
  <c r="AY77" i="1"/>
  <c r="AZ77" i="1"/>
  <c r="AY78" i="1"/>
  <c r="BA79" i="1" s="1"/>
  <c r="BA78" i="1"/>
  <c r="AY79" i="1"/>
  <c r="AZ79" i="1"/>
  <c r="AY80" i="1"/>
  <c r="AZ80" i="1" s="1"/>
  <c r="BA80" i="1"/>
  <c r="AY81" i="1"/>
  <c r="AZ81" i="1"/>
  <c r="BA81" i="1"/>
  <c r="AY82" i="1"/>
  <c r="AZ82" i="1" s="1"/>
  <c r="BA82" i="1"/>
  <c r="AY83" i="1"/>
  <c r="AZ83" i="1"/>
  <c r="AY84" i="1"/>
  <c r="BA85" i="1" s="1"/>
  <c r="AZ84" i="1"/>
  <c r="BA84" i="1"/>
  <c r="AY85" i="1"/>
  <c r="AZ85" i="1"/>
  <c r="AY86" i="1"/>
  <c r="BA87" i="1" s="1"/>
  <c r="BA86" i="1"/>
  <c r="AY87" i="1"/>
  <c r="AZ87" i="1"/>
  <c r="AY88" i="1"/>
  <c r="AZ88" i="1" s="1"/>
  <c r="BA88" i="1"/>
  <c r="AY89" i="1"/>
  <c r="AZ89" i="1"/>
  <c r="BA89" i="1"/>
  <c r="AY90" i="1"/>
  <c r="AZ90" i="1" s="1"/>
  <c r="BA90" i="1"/>
  <c r="AY91" i="1"/>
  <c r="AZ91" i="1"/>
  <c r="AY92" i="1"/>
  <c r="BA93" i="1" s="1"/>
  <c r="AZ92" i="1"/>
  <c r="BA92" i="1"/>
  <c r="AY93" i="1"/>
  <c r="AZ93" i="1"/>
  <c r="AY94" i="1"/>
  <c r="BA95" i="1" s="1"/>
  <c r="BA94" i="1"/>
  <c r="AY95" i="1"/>
  <c r="AZ95" i="1"/>
  <c r="AY96" i="1"/>
  <c r="AZ96" i="1" s="1"/>
  <c r="BA96" i="1"/>
  <c r="AY97" i="1"/>
  <c r="AZ97" i="1"/>
  <c r="BA97" i="1"/>
  <c r="AY98" i="1"/>
  <c r="AZ98" i="1" s="1"/>
  <c r="BA98" i="1"/>
  <c r="AY99" i="1"/>
  <c r="AZ99" i="1"/>
  <c r="AY100" i="1"/>
  <c r="BA101" i="1" s="1"/>
  <c r="AZ100" i="1"/>
  <c r="BA100" i="1"/>
  <c r="AY101" i="1"/>
  <c r="AZ101" i="1"/>
  <c r="AY102" i="1"/>
  <c r="BA103" i="1" s="1"/>
  <c r="BA102" i="1"/>
  <c r="AY103" i="1"/>
  <c r="AZ103" i="1"/>
  <c r="AY104" i="1"/>
  <c r="AZ104" i="1" s="1"/>
  <c r="BA104" i="1"/>
  <c r="AY105" i="1"/>
  <c r="AZ105" i="1"/>
  <c r="BA105" i="1"/>
  <c r="AY106" i="1"/>
  <c r="AZ106" i="1" s="1"/>
  <c r="BA106" i="1"/>
  <c r="AY107" i="1"/>
  <c r="AZ107" i="1"/>
  <c r="AY108" i="1"/>
  <c r="BA109" i="1" s="1"/>
  <c r="AZ108" i="1"/>
  <c r="BA108" i="1"/>
  <c r="AY109" i="1"/>
  <c r="AZ109" i="1"/>
  <c r="AY110" i="1"/>
  <c r="BA111" i="1" s="1"/>
  <c r="BA110" i="1"/>
  <c r="AY111" i="1"/>
  <c r="AZ111" i="1"/>
  <c r="AY112" i="1"/>
  <c r="AZ112" i="1" s="1"/>
  <c r="BA112" i="1"/>
  <c r="AY113" i="1"/>
  <c r="AZ113" i="1"/>
  <c r="BA113" i="1"/>
  <c r="AY114" i="1"/>
  <c r="AZ114" i="1" s="1"/>
  <c r="BA114" i="1"/>
  <c r="AY115" i="1"/>
  <c r="AZ115" i="1"/>
  <c r="AY116" i="1"/>
  <c r="BA117" i="1" s="1"/>
  <c r="AZ116" i="1"/>
  <c r="BA116" i="1"/>
  <c r="AY117" i="1"/>
  <c r="AZ117" i="1"/>
  <c r="AY118" i="1"/>
  <c r="BA119" i="1" s="1"/>
  <c r="BA118" i="1"/>
  <c r="AY119" i="1"/>
  <c r="AZ119" i="1"/>
  <c r="AY120" i="1"/>
  <c r="AZ120" i="1" s="1"/>
  <c r="BA120" i="1"/>
  <c r="AY121" i="1"/>
  <c r="AZ121" i="1"/>
  <c r="BA121" i="1"/>
  <c r="AY122" i="1"/>
  <c r="AZ122" i="1" s="1"/>
  <c r="BA122" i="1"/>
  <c r="AY123" i="1"/>
  <c r="AZ123" i="1"/>
  <c r="AY124" i="1"/>
  <c r="BA125" i="1" s="1"/>
  <c r="AZ124" i="1"/>
  <c r="BA124" i="1"/>
  <c r="AY125" i="1"/>
  <c r="AZ125" i="1"/>
  <c r="AY126" i="1"/>
  <c r="BA127" i="1" s="1"/>
  <c r="BA126" i="1"/>
  <c r="AY127" i="1"/>
  <c r="AZ127" i="1"/>
  <c r="AY128" i="1"/>
  <c r="AZ128" i="1" s="1"/>
  <c r="BA128" i="1"/>
  <c r="AY129" i="1"/>
  <c r="AZ129" i="1"/>
  <c r="BA129" i="1"/>
  <c r="AY130" i="1"/>
  <c r="AZ130" i="1" s="1"/>
  <c r="BA130" i="1"/>
  <c r="AY131" i="1"/>
  <c r="AZ131" i="1"/>
  <c r="AY132" i="1"/>
  <c r="BA133" i="1" s="1"/>
  <c r="AZ132" i="1"/>
  <c r="BA132" i="1"/>
  <c r="AY133" i="1"/>
  <c r="AZ133" i="1"/>
  <c r="AY134" i="1"/>
  <c r="BA135" i="1" s="1"/>
  <c r="BA134" i="1"/>
  <c r="AY135" i="1"/>
  <c r="AZ135" i="1"/>
  <c r="AY136" i="1"/>
  <c r="AZ136" i="1" s="1"/>
  <c r="BA136" i="1"/>
  <c r="AY137" i="1"/>
  <c r="AZ137" i="1"/>
  <c r="BA137" i="1"/>
  <c r="AY138" i="1"/>
  <c r="AZ138" i="1" s="1"/>
  <c r="BA138" i="1"/>
  <c r="AY139" i="1"/>
  <c r="AZ139" i="1"/>
  <c r="AY140" i="1"/>
  <c r="BA141" i="1" s="1"/>
  <c r="AZ140" i="1"/>
  <c r="BA140" i="1"/>
  <c r="AY141" i="1"/>
  <c r="AZ141" i="1"/>
  <c r="AY142" i="1"/>
  <c r="BA143" i="1" s="1"/>
  <c r="BA142" i="1"/>
  <c r="AY143" i="1"/>
  <c r="AZ143" i="1"/>
  <c r="AY144" i="1"/>
  <c r="AZ144" i="1" s="1"/>
  <c r="BA144" i="1"/>
  <c r="AY145" i="1"/>
  <c r="AZ145" i="1"/>
  <c r="BA145" i="1"/>
  <c r="AY146" i="1"/>
  <c r="AZ146" i="1" s="1"/>
  <c r="BA146" i="1"/>
  <c r="AY147" i="1"/>
  <c r="AZ147" i="1"/>
  <c r="AY148" i="1"/>
  <c r="BA149" i="1" s="1"/>
  <c r="AZ148" i="1"/>
  <c r="BA148" i="1"/>
  <c r="AY149" i="1"/>
  <c r="AZ149" i="1"/>
  <c r="AY150" i="1"/>
  <c r="BA151" i="1" s="1"/>
  <c r="BA150" i="1"/>
  <c r="AY151" i="1"/>
  <c r="AZ151" i="1"/>
  <c r="AY152" i="1"/>
  <c r="AZ152" i="1" s="1"/>
  <c r="BA152" i="1"/>
  <c r="AY153" i="1"/>
  <c r="AZ153" i="1"/>
  <c r="BA153" i="1"/>
  <c r="AY154" i="1"/>
  <c r="AZ154" i="1" s="1"/>
  <c r="BA154" i="1"/>
  <c r="AY155" i="1"/>
  <c r="AZ155" i="1"/>
  <c r="AY156" i="1"/>
  <c r="BA157" i="1" s="1"/>
  <c r="AZ156" i="1"/>
  <c r="BA156" i="1"/>
  <c r="AY157" i="1"/>
  <c r="AZ157" i="1"/>
  <c r="AY158" i="1"/>
  <c r="BA159" i="1" s="1"/>
  <c r="BA158" i="1"/>
  <c r="AY159" i="1"/>
  <c r="AZ159" i="1"/>
  <c r="AY160" i="1"/>
  <c r="AZ160" i="1" s="1"/>
  <c r="BA160" i="1"/>
  <c r="AY161" i="1"/>
  <c r="AZ161" i="1"/>
  <c r="BA161" i="1"/>
  <c r="AY162" i="1"/>
  <c r="AZ162" i="1" s="1"/>
  <c r="BA162" i="1"/>
  <c r="AY163" i="1"/>
  <c r="AZ163" i="1"/>
  <c r="AY164" i="1"/>
  <c r="BA165" i="1" s="1"/>
  <c r="AZ164" i="1"/>
  <c r="BA164" i="1"/>
  <c r="AY165" i="1"/>
  <c r="AZ165" i="1"/>
  <c r="AY166" i="1"/>
  <c r="BA167" i="1" s="1"/>
  <c r="BA166" i="1"/>
  <c r="AY167" i="1"/>
  <c r="AZ167" i="1"/>
  <c r="AY168" i="1"/>
  <c r="AZ168" i="1" s="1"/>
  <c r="BA168" i="1"/>
  <c r="AY169" i="1"/>
  <c r="AZ169" i="1"/>
  <c r="BA169" i="1"/>
  <c r="AY170" i="1"/>
  <c r="AZ170" i="1" s="1"/>
  <c r="BA170" i="1"/>
  <c r="AY171" i="1"/>
  <c r="AZ171" i="1"/>
  <c r="AY172" i="1"/>
  <c r="BA173" i="1" s="1"/>
  <c r="AZ172" i="1"/>
  <c r="BA172" i="1"/>
  <c r="AY173" i="1"/>
  <c r="AZ173" i="1"/>
  <c r="AY174" i="1"/>
  <c r="BA175" i="1" s="1"/>
  <c r="BA174" i="1"/>
  <c r="AY175" i="1"/>
  <c r="AZ175" i="1"/>
  <c r="AY176" i="1"/>
  <c r="AZ176" i="1" s="1"/>
  <c r="BA176" i="1"/>
  <c r="AY177" i="1"/>
  <c r="AZ177" i="1"/>
  <c r="BA177" i="1"/>
  <c r="AY178" i="1"/>
  <c r="AZ178" i="1" s="1"/>
  <c r="BA178" i="1"/>
  <c r="AY179" i="1"/>
  <c r="AZ179" i="1"/>
  <c r="AY180" i="1"/>
  <c r="BA181" i="1" s="1"/>
  <c r="AZ180" i="1"/>
  <c r="BA180" i="1"/>
  <c r="AY181" i="1"/>
  <c r="AZ181" i="1"/>
  <c r="AY182" i="1"/>
  <c r="BA183" i="1" s="1"/>
  <c r="BA182" i="1"/>
  <c r="AY183" i="1"/>
  <c r="AZ183" i="1"/>
  <c r="AY184" i="1"/>
  <c r="AZ184" i="1" s="1"/>
  <c r="BA184" i="1"/>
  <c r="AY185" i="1"/>
  <c r="AZ185" i="1"/>
  <c r="BA185" i="1"/>
  <c r="AY186" i="1"/>
  <c r="AZ186" i="1" s="1"/>
  <c r="BA186" i="1"/>
  <c r="AY187" i="1"/>
  <c r="AZ187" i="1"/>
  <c r="AY188" i="1"/>
  <c r="BA189" i="1" s="1"/>
  <c r="AZ188" i="1"/>
  <c r="BA188" i="1"/>
  <c r="AY189" i="1"/>
  <c r="AZ189" i="1"/>
  <c r="AY190" i="1"/>
  <c r="BA191" i="1" s="1"/>
  <c r="BA190" i="1"/>
  <c r="AY191" i="1"/>
  <c r="AZ191" i="1"/>
  <c r="AY192" i="1"/>
  <c r="AZ192" i="1" s="1"/>
  <c r="BA192" i="1"/>
  <c r="AY193" i="1"/>
  <c r="AZ193" i="1"/>
  <c r="BA193" i="1"/>
  <c r="AY194" i="1"/>
  <c r="AZ194" i="1" s="1"/>
  <c r="BA194" i="1"/>
  <c r="AY195" i="1"/>
  <c r="AZ195" i="1"/>
  <c r="AY196" i="1"/>
  <c r="BA197" i="1" s="1"/>
  <c r="AZ196" i="1"/>
  <c r="BA196" i="1"/>
  <c r="AY197" i="1"/>
  <c r="AZ197" i="1"/>
  <c r="AY198" i="1"/>
  <c r="BA199" i="1" s="1"/>
  <c r="BA198" i="1"/>
  <c r="AY199" i="1"/>
  <c r="AZ199" i="1"/>
  <c r="AY200" i="1"/>
  <c r="AZ200" i="1" s="1"/>
  <c r="BA200" i="1"/>
  <c r="AY201" i="1"/>
  <c r="AZ201" i="1"/>
  <c r="BA201" i="1"/>
  <c r="AY202" i="1"/>
  <c r="AZ202" i="1" s="1"/>
  <c r="BA202" i="1"/>
  <c r="AY203" i="1"/>
  <c r="AZ203" i="1"/>
  <c r="AY204" i="1"/>
  <c r="BA205" i="1" s="1"/>
  <c r="AZ204" i="1"/>
  <c r="BA204" i="1"/>
  <c r="AY205" i="1"/>
  <c r="AZ205" i="1"/>
  <c r="AY206" i="1"/>
  <c r="BA207" i="1" s="1"/>
  <c r="BA206" i="1"/>
  <c r="AY207" i="1"/>
  <c r="AZ207" i="1"/>
  <c r="AY208" i="1"/>
  <c r="AZ208" i="1" s="1"/>
  <c r="BA208" i="1"/>
  <c r="AY209" i="1"/>
  <c r="AZ209" i="1"/>
  <c r="BA209" i="1"/>
  <c r="AY210" i="1"/>
  <c r="AZ210" i="1" s="1"/>
  <c r="BA210" i="1"/>
  <c r="AY211" i="1"/>
  <c r="AZ211" i="1"/>
  <c r="AY212" i="1"/>
  <c r="BA213" i="1" s="1"/>
  <c r="AZ212" i="1"/>
  <c r="BA212" i="1"/>
  <c r="AY213" i="1"/>
  <c r="AZ213" i="1"/>
  <c r="AY214" i="1"/>
  <c r="BA215" i="1" s="1"/>
  <c r="BA214" i="1"/>
  <c r="AY215" i="1"/>
  <c r="AZ215" i="1"/>
  <c r="AY216" i="1"/>
  <c r="AZ216" i="1" s="1"/>
  <c r="BA216" i="1"/>
  <c r="AY217" i="1"/>
  <c r="AZ217" i="1"/>
  <c r="BA217" i="1"/>
  <c r="AY218" i="1"/>
  <c r="AZ218" i="1" s="1"/>
  <c r="BA218" i="1"/>
  <c r="AY219" i="1"/>
  <c r="AZ219" i="1"/>
  <c r="AY220" i="1"/>
  <c r="BA221" i="1" s="1"/>
  <c r="AZ220" i="1"/>
  <c r="BA220" i="1"/>
  <c r="AY221" i="1"/>
  <c r="AZ221" i="1"/>
  <c r="AY222" i="1"/>
  <c r="BA223" i="1" s="1"/>
  <c r="BA222" i="1"/>
  <c r="AY223" i="1"/>
  <c r="AZ223" i="1"/>
  <c r="AY224" i="1"/>
  <c r="AZ224" i="1" s="1"/>
  <c r="BA224" i="1"/>
  <c r="AY225" i="1"/>
  <c r="AZ225" i="1"/>
  <c r="BA225" i="1"/>
  <c r="AY226" i="1"/>
  <c r="AZ226" i="1" s="1"/>
  <c r="BA226" i="1"/>
  <c r="AY227" i="1"/>
  <c r="AZ227" i="1"/>
  <c r="AY228" i="1"/>
  <c r="BA229" i="1" s="1"/>
  <c r="AZ228" i="1"/>
  <c r="BA228" i="1"/>
  <c r="AY229" i="1"/>
  <c r="AZ229" i="1"/>
  <c r="AY230" i="1"/>
  <c r="BA231" i="1" s="1"/>
  <c r="BA230" i="1"/>
  <c r="AY231" i="1"/>
  <c r="AZ231" i="1"/>
  <c r="AY232" i="1"/>
  <c r="AZ232" i="1" s="1"/>
  <c r="BA232" i="1"/>
  <c r="AY233" i="1"/>
  <c r="AZ233" i="1"/>
  <c r="BA233" i="1"/>
  <c r="AY234" i="1"/>
  <c r="AZ234" i="1" s="1"/>
  <c r="BA234" i="1"/>
  <c r="AY235" i="1"/>
  <c r="AZ235" i="1"/>
  <c r="AY236" i="1"/>
  <c r="BA237" i="1" s="1"/>
  <c r="AZ236" i="1"/>
  <c r="BA236" i="1"/>
  <c r="AY237" i="1"/>
  <c r="AZ237" i="1"/>
  <c r="AY238" i="1"/>
  <c r="BA239" i="1" s="1"/>
  <c r="BA238" i="1"/>
  <c r="AY239" i="1"/>
  <c r="AZ239" i="1"/>
  <c r="AY240" i="1"/>
  <c r="AZ240" i="1" s="1"/>
  <c r="BA240" i="1"/>
  <c r="AY241" i="1"/>
  <c r="AZ241" i="1"/>
  <c r="BA241" i="1"/>
  <c r="AY242" i="1"/>
  <c r="AZ242" i="1" s="1"/>
  <c r="BA242" i="1"/>
  <c r="AY243" i="1"/>
  <c r="AZ243" i="1"/>
  <c r="AY244" i="1"/>
  <c r="BA245" i="1" s="1"/>
  <c r="AZ244" i="1"/>
  <c r="BA244" i="1"/>
  <c r="AY245" i="1"/>
  <c r="AZ245" i="1"/>
  <c r="AY246" i="1"/>
  <c r="BA247" i="1" s="1"/>
  <c r="BA246" i="1"/>
  <c r="AY247" i="1"/>
  <c r="AZ247" i="1"/>
  <c r="AY248" i="1"/>
  <c r="AZ248" i="1" s="1"/>
  <c r="BA248" i="1"/>
  <c r="AY249" i="1"/>
  <c r="AZ249" i="1"/>
  <c r="BA249" i="1"/>
  <c r="AY250" i="1"/>
  <c r="AZ250" i="1" s="1"/>
  <c r="BA250" i="1"/>
  <c r="AY251" i="1"/>
  <c r="AZ251" i="1"/>
  <c r="AY252" i="1"/>
  <c r="BA253" i="1" s="1"/>
  <c r="AZ252" i="1"/>
  <c r="BA252" i="1"/>
  <c r="AY253" i="1"/>
  <c r="AZ253" i="1"/>
  <c r="AY254" i="1"/>
  <c r="BA255" i="1" s="1"/>
  <c r="BA254" i="1"/>
  <c r="AY255" i="1"/>
  <c r="AZ255" i="1"/>
  <c r="AY256" i="1"/>
  <c r="AZ256" i="1" s="1"/>
  <c r="BA256" i="1"/>
  <c r="AY257" i="1"/>
  <c r="AZ257" i="1"/>
  <c r="BA257" i="1"/>
  <c r="AY258" i="1"/>
  <c r="AZ258" i="1" s="1"/>
  <c r="BA258" i="1"/>
  <c r="AY259" i="1"/>
  <c r="AZ259" i="1"/>
  <c r="AY260" i="1"/>
  <c r="BA261" i="1" s="1"/>
  <c r="AZ260" i="1"/>
  <c r="BA260" i="1"/>
  <c r="AY261" i="1"/>
  <c r="AZ261" i="1"/>
  <c r="AY262" i="1"/>
  <c r="BA263" i="1" s="1"/>
  <c r="BA262" i="1"/>
  <c r="AY263" i="1"/>
  <c r="AZ263" i="1"/>
  <c r="AY264" i="1"/>
  <c r="AZ264" i="1" s="1"/>
  <c r="BA264" i="1"/>
  <c r="AY265" i="1"/>
  <c r="AZ265" i="1"/>
  <c r="BA265" i="1"/>
  <c r="AY266" i="1"/>
  <c r="AZ266" i="1" s="1"/>
  <c r="BA266" i="1"/>
  <c r="AY267" i="1"/>
  <c r="AZ267" i="1"/>
  <c r="AY268" i="1"/>
  <c r="BA269" i="1" s="1"/>
  <c r="AZ268" i="1"/>
  <c r="BA268" i="1"/>
  <c r="AY269" i="1"/>
  <c r="AZ269" i="1"/>
  <c r="AY270" i="1"/>
  <c r="BA271" i="1" s="1"/>
  <c r="BA270" i="1"/>
  <c r="AY271" i="1"/>
  <c r="AZ271" i="1"/>
  <c r="AY272" i="1"/>
  <c r="AZ272" i="1" s="1"/>
  <c r="BA272" i="1"/>
  <c r="AY273" i="1"/>
  <c r="AZ273" i="1"/>
  <c r="BA273" i="1"/>
  <c r="AY274" i="1"/>
  <c r="AZ274" i="1" s="1"/>
  <c r="BA274" i="1"/>
  <c r="AY275" i="1"/>
  <c r="AZ275" i="1"/>
  <c r="AY276" i="1"/>
  <c r="BA277" i="1" s="1"/>
  <c r="AZ276" i="1"/>
  <c r="BA276" i="1"/>
  <c r="AY277" i="1"/>
  <c r="AZ277" i="1"/>
  <c r="AY278" i="1"/>
  <c r="BA279" i="1" s="1"/>
  <c r="BA278" i="1"/>
  <c r="AY279" i="1"/>
  <c r="AZ279" i="1"/>
  <c r="AY280" i="1"/>
  <c r="AZ280" i="1" s="1"/>
  <c r="BA280" i="1"/>
  <c r="AY281" i="1"/>
  <c r="AZ281" i="1"/>
  <c r="BA281" i="1"/>
  <c r="AY282" i="1"/>
  <c r="AZ282" i="1" s="1"/>
  <c r="BA282" i="1"/>
  <c r="AY283" i="1"/>
  <c r="AZ283" i="1"/>
  <c r="AY284" i="1"/>
  <c r="BA285" i="1" s="1"/>
  <c r="AZ284" i="1"/>
  <c r="BA284" i="1"/>
  <c r="AY285" i="1"/>
  <c r="AZ285" i="1"/>
  <c r="AY286" i="1"/>
  <c r="BA287" i="1" s="1"/>
  <c r="BA286" i="1"/>
  <c r="AY287" i="1"/>
  <c r="AZ287" i="1"/>
  <c r="AY288" i="1"/>
  <c r="AZ288" i="1" s="1"/>
  <c r="BA288" i="1"/>
  <c r="AY289" i="1"/>
  <c r="AZ289" i="1"/>
  <c r="BA289" i="1"/>
  <c r="AY290" i="1"/>
  <c r="AZ290" i="1" s="1"/>
  <c r="BA290" i="1"/>
  <c r="AY291" i="1"/>
  <c r="AZ291" i="1"/>
  <c r="AY292" i="1"/>
  <c r="BA293" i="1" s="1"/>
  <c r="AZ292" i="1"/>
  <c r="BA292" i="1"/>
  <c r="AY293" i="1"/>
  <c r="AZ293" i="1"/>
  <c r="AY294" i="1"/>
  <c r="BA295" i="1" s="1"/>
  <c r="BA294" i="1"/>
  <c r="AY295" i="1"/>
  <c r="AZ295" i="1"/>
  <c r="AY296" i="1"/>
  <c r="AZ296" i="1" s="1"/>
  <c r="BA296" i="1"/>
  <c r="AY297" i="1"/>
  <c r="AZ297" i="1"/>
  <c r="BA297" i="1"/>
  <c r="AY298" i="1"/>
  <c r="AZ298" i="1" s="1"/>
  <c r="BA298" i="1"/>
  <c r="AY299" i="1"/>
  <c r="AZ299" i="1"/>
  <c r="AY300" i="1"/>
  <c r="BA301" i="1" s="1"/>
  <c r="AZ300" i="1"/>
  <c r="BA300" i="1"/>
  <c r="AY301" i="1"/>
  <c r="AZ301" i="1"/>
  <c r="AY302" i="1"/>
  <c r="BA303" i="1" s="1"/>
  <c r="BA302" i="1"/>
  <c r="AY303" i="1"/>
  <c r="AZ303" i="1"/>
  <c r="AY304" i="1"/>
  <c r="AZ304" i="1" s="1"/>
  <c r="BA304" i="1"/>
  <c r="AZ12" i="1"/>
  <c r="AY12" i="1"/>
  <c r="AY11" i="1"/>
  <c r="BA12" i="1" s="1"/>
  <c r="AY10" i="1"/>
  <c r="AZ10" i="1" s="1"/>
  <c r="AT304" i="1"/>
  <c r="AU304" i="1"/>
  <c r="AV304" i="1"/>
  <c r="AT13" i="1"/>
  <c r="AU13" i="1"/>
  <c r="AV13" i="1"/>
  <c r="AT14" i="1"/>
  <c r="AU14" i="1"/>
  <c r="AV14" i="1"/>
  <c r="AT15" i="1"/>
  <c r="AV16" i="1" s="1"/>
  <c r="AU15" i="1"/>
  <c r="AV15" i="1"/>
  <c r="AT16" i="1"/>
  <c r="AU16" i="1"/>
  <c r="AT17" i="1"/>
  <c r="AV18" i="1" s="1"/>
  <c r="AU17" i="1"/>
  <c r="AV17" i="1"/>
  <c r="AT18" i="1"/>
  <c r="AT19" i="1"/>
  <c r="AU19" i="1" s="1"/>
  <c r="AT20" i="1"/>
  <c r="AV21" i="1" s="1"/>
  <c r="AU20" i="1"/>
  <c r="AV20" i="1"/>
  <c r="AT21" i="1"/>
  <c r="AU21" i="1"/>
  <c r="AT22" i="1"/>
  <c r="AU22" i="1"/>
  <c r="AV22" i="1"/>
  <c r="AT23" i="1"/>
  <c r="AV24" i="1" s="1"/>
  <c r="AU23" i="1"/>
  <c r="AV23" i="1"/>
  <c r="AT24" i="1"/>
  <c r="AU24" i="1"/>
  <c r="AT25" i="1"/>
  <c r="AV26" i="1" s="1"/>
  <c r="AU25" i="1"/>
  <c r="AV25" i="1"/>
  <c r="AT26" i="1"/>
  <c r="AT27" i="1"/>
  <c r="AU27" i="1" s="1"/>
  <c r="AT28" i="1"/>
  <c r="AV29" i="1" s="1"/>
  <c r="AV28" i="1"/>
  <c r="AT29" i="1"/>
  <c r="AU29" i="1"/>
  <c r="AT30" i="1"/>
  <c r="AU30" i="1"/>
  <c r="AV30" i="1"/>
  <c r="AT31" i="1"/>
  <c r="AV32" i="1" s="1"/>
  <c r="AV31" i="1"/>
  <c r="AT32" i="1"/>
  <c r="AU32" i="1"/>
  <c r="AT33" i="1"/>
  <c r="AV34" i="1" s="1"/>
  <c r="AU33" i="1"/>
  <c r="AV33" i="1"/>
  <c r="AT34" i="1"/>
  <c r="AT35" i="1"/>
  <c r="AU35" i="1" s="1"/>
  <c r="AT36" i="1"/>
  <c r="AV37" i="1" s="1"/>
  <c r="AU36" i="1"/>
  <c r="AV36" i="1"/>
  <c r="AT37" i="1"/>
  <c r="AU37" i="1"/>
  <c r="AT38" i="1"/>
  <c r="AU38" i="1"/>
  <c r="AV38" i="1"/>
  <c r="AT39" i="1"/>
  <c r="AV40" i="1" s="1"/>
  <c r="AU39" i="1"/>
  <c r="AV39" i="1"/>
  <c r="AT40" i="1"/>
  <c r="AU40" i="1"/>
  <c r="AT41" i="1"/>
  <c r="AV42" i="1" s="1"/>
  <c r="AU41" i="1"/>
  <c r="AV41" i="1"/>
  <c r="AT42" i="1"/>
  <c r="AT43" i="1"/>
  <c r="AU43" i="1" s="1"/>
  <c r="AT44" i="1"/>
  <c r="AV45" i="1" s="1"/>
  <c r="AU44" i="1"/>
  <c r="AV44" i="1"/>
  <c r="AT45" i="1"/>
  <c r="AU45" i="1"/>
  <c r="AT46" i="1"/>
  <c r="AU46" i="1"/>
  <c r="AV46" i="1"/>
  <c r="AT47" i="1"/>
  <c r="AV48" i="1" s="1"/>
  <c r="AU47" i="1"/>
  <c r="AV47" i="1"/>
  <c r="AT48" i="1"/>
  <c r="AU48" i="1"/>
  <c r="AT49" i="1"/>
  <c r="AV50" i="1" s="1"/>
  <c r="AU49" i="1"/>
  <c r="AV49" i="1"/>
  <c r="AT50" i="1"/>
  <c r="AU50" i="1" s="1"/>
  <c r="AT51" i="1"/>
  <c r="AU51" i="1" s="1"/>
  <c r="AT52" i="1"/>
  <c r="AV53" i="1" s="1"/>
  <c r="AV52" i="1"/>
  <c r="AT53" i="1"/>
  <c r="AU53" i="1" s="1"/>
  <c r="AT54" i="1"/>
  <c r="AU54" i="1"/>
  <c r="AV54" i="1"/>
  <c r="AT55" i="1"/>
  <c r="AV56" i="1" s="1"/>
  <c r="AU55" i="1"/>
  <c r="AV55" i="1"/>
  <c r="AT56" i="1"/>
  <c r="AU56" i="1"/>
  <c r="AT57" i="1"/>
  <c r="AV58" i="1" s="1"/>
  <c r="AU57" i="1"/>
  <c r="AV57" i="1"/>
  <c r="AT58" i="1"/>
  <c r="AU58" i="1" s="1"/>
  <c r="AT59" i="1"/>
  <c r="AU59" i="1" s="1"/>
  <c r="AV59" i="1"/>
  <c r="AT60" i="1"/>
  <c r="AV61" i="1" s="1"/>
  <c r="AU60" i="1"/>
  <c r="AV60" i="1"/>
  <c r="AT61" i="1"/>
  <c r="AU61" i="1" s="1"/>
  <c r="AT62" i="1"/>
  <c r="AU62" i="1"/>
  <c r="AV62" i="1"/>
  <c r="AT63" i="1"/>
  <c r="AV64" i="1" s="1"/>
  <c r="AV63" i="1"/>
  <c r="AT64" i="1"/>
  <c r="AU64" i="1"/>
  <c r="AT65" i="1"/>
  <c r="AV66" i="1" s="1"/>
  <c r="AV65" i="1"/>
  <c r="AT66" i="1"/>
  <c r="AU66" i="1" s="1"/>
  <c r="AT67" i="1"/>
  <c r="AU67" i="1" s="1"/>
  <c r="AV67" i="1"/>
  <c r="AT68" i="1"/>
  <c r="AV69" i="1" s="1"/>
  <c r="AU68" i="1"/>
  <c r="AV68" i="1"/>
  <c r="AT69" i="1"/>
  <c r="AU69" i="1" s="1"/>
  <c r="AT70" i="1"/>
  <c r="AU70" i="1"/>
  <c r="AV70" i="1"/>
  <c r="AT71" i="1"/>
  <c r="AV72" i="1" s="1"/>
  <c r="AU71" i="1"/>
  <c r="AV71" i="1"/>
  <c r="AT72" i="1"/>
  <c r="AU72" i="1"/>
  <c r="AT73" i="1"/>
  <c r="AV74" i="1" s="1"/>
  <c r="AV73" i="1"/>
  <c r="AT74" i="1"/>
  <c r="AU74" i="1" s="1"/>
  <c r="AT75" i="1"/>
  <c r="AU75" i="1" s="1"/>
  <c r="AV75" i="1"/>
  <c r="AT76" i="1"/>
  <c r="AV77" i="1" s="1"/>
  <c r="AV76" i="1"/>
  <c r="AT77" i="1"/>
  <c r="AU77" i="1" s="1"/>
  <c r="AT78" i="1"/>
  <c r="AU78" i="1"/>
  <c r="AV78" i="1"/>
  <c r="AT79" i="1"/>
  <c r="AV80" i="1" s="1"/>
  <c r="AU79" i="1"/>
  <c r="AV79" i="1"/>
  <c r="AT80" i="1"/>
  <c r="AU80" i="1"/>
  <c r="AT81" i="1"/>
  <c r="AV82" i="1" s="1"/>
  <c r="AU81" i="1"/>
  <c r="AV81" i="1"/>
  <c r="AT82" i="1"/>
  <c r="AU82" i="1" s="1"/>
  <c r="AT83" i="1"/>
  <c r="AU83" i="1" s="1"/>
  <c r="AT84" i="1"/>
  <c r="AV85" i="1" s="1"/>
  <c r="AV84" i="1"/>
  <c r="AT85" i="1"/>
  <c r="AU85" i="1" s="1"/>
  <c r="AT86" i="1"/>
  <c r="AU86" i="1"/>
  <c r="AV86" i="1"/>
  <c r="AT87" i="1"/>
  <c r="AV88" i="1" s="1"/>
  <c r="AU87" i="1"/>
  <c r="AV87" i="1"/>
  <c r="AT88" i="1"/>
  <c r="AU88" i="1"/>
  <c r="AT89" i="1"/>
  <c r="AV90" i="1" s="1"/>
  <c r="AU89" i="1"/>
  <c r="AV89" i="1"/>
  <c r="AT90" i="1"/>
  <c r="AU90" i="1" s="1"/>
  <c r="AT91" i="1"/>
  <c r="AU91" i="1" s="1"/>
  <c r="AV91" i="1"/>
  <c r="AT92" i="1"/>
  <c r="AV93" i="1" s="1"/>
  <c r="AU92" i="1"/>
  <c r="AV92" i="1"/>
  <c r="AT93" i="1"/>
  <c r="AU93" i="1" s="1"/>
  <c r="AT94" i="1"/>
  <c r="AU94" i="1"/>
  <c r="AV94" i="1"/>
  <c r="AT95" i="1"/>
  <c r="AV96" i="1" s="1"/>
  <c r="AV95" i="1"/>
  <c r="AT96" i="1"/>
  <c r="AU96" i="1"/>
  <c r="AT97" i="1"/>
  <c r="AV98" i="1" s="1"/>
  <c r="AV97" i="1"/>
  <c r="AT98" i="1"/>
  <c r="AU98" i="1" s="1"/>
  <c r="AT99" i="1"/>
  <c r="AU99" i="1" s="1"/>
  <c r="AV99" i="1"/>
  <c r="AT100" i="1"/>
  <c r="AV101" i="1" s="1"/>
  <c r="AU100" i="1"/>
  <c r="AV100" i="1"/>
  <c r="AT101" i="1"/>
  <c r="AU101" i="1" s="1"/>
  <c r="AT102" i="1"/>
  <c r="AU102" i="1"/>
  <c r="AV102" i="1"/>
  <c r="AT103" i="1"/>
  <c r="AV104" i="1" s="1"/>
  <c r="AU103" i="1"/>
  <c r="AV103" i="1"/>
  <c r="AT104" i="1"/>
  <c r="AU104" i="1"/>
  <c r="AT105" i="1"/>
  <c r="AV106" i="1" s="1"/>
  <c r="AV105" i="1"/>
  <c r="AT106" i="1"/>
  <c r="AU106" i="1" s="1"/>
  <c r="AT107" i="1"/>
  <c r="AU107" i="1" s="1"/>
  <c r="AV107" i="1"/>
  <c r="AT108" i="1"/>
  <c r="AV109" i="1" s="1"/>
  <c r="AV108" i="1"/>
  <c r="AT109" i="1"/>
  <c r="AU109" i="1" s="1"/>
  <c r="AT110" i="1"/>
  <c r="AU110" i="1"/>
  <c r="AV110" i="1"/>
  <c r="AT111" i="1"/>
  <c r="AV112" i="1" s="1"/>
  <c r="AU111" i="1"/>
  <c r="AV111" i="1"/>
  <c r="AT112" i="1"/>
  <c r="AU112" i="1"/>
  <c r="AT113" i="1"/>
  <c r="AV114" i="1" s="1"/>
  <c r="AU113" i="1"/>
  <c r="AV113" i="1"/>
  <c r="AT114" i="1"/>
  <c r="AU114" i="1" s="1"/>
  <c r="AT115" i="1"/>
  <c r="AU115" i="1" s="1"/>
  <c r="AT116" i="1"/>
  <c r="AV117" i="1" s="1"/>
  <c r="AV116" i="1"/>
  <c r="AT117" i="1"/>
  <c r="AU117" i="1" s="1"/>
  <c r="AT118" i="1"/>
  <c r="AU118" i="1"/>
  <c r="AV118" i="1"/>
  <c r="AT119" i="1"/>
  <c r="AV120" i="1" s="1"/>
  <c r="AU119" i="1"/>
  <c r="AV119" i="1"/>
  <c r="AT120" i="1"/>
  <c r="AU120" i="1"/>
  <c r="AT121" i="1"/>
  <c r="AV122" i="1" s="1"/>
  <c r="AU121" i="1"/>
  <c r="AV121" i="1"/>
  <c r="AT122" i="1"/>
  <c r="AU122" i="1" s="1"/>
  <c r="AT123" i="1"/>
  <c r="AU123" i="1" s="1"/>
  <c r="AV123" i="1"/>
  <c r="AT124" i="1"/>
  <c r="AV125" i="1" s="1"/>
  <c r="AU124" i="1"/>
  <c r="AV124" i="1"/>
  <c r="AT125" i="1"/>
  <c r="AU125" i="1" s="1"/>
  <c r="AT126" i="1"/>
  <c r="AU126" i="1"/>
  <c r="AV126" i="1"/>
  <c r="AT127" i="1"/>
  <c r="AV128" i="1" s="1"/>
  <c r="AV127" i="1"/>
  <c r="AT128" i="1"/>
  <c r="AU128" i="1"/>
  <c r="AT129" i="1"/>
  <c r="AV130" i="1" s="1"/>
  <c r="AV129" i="1"/>
  <c r="AT130" i="1"/>
  <c r="AU130" i="1" s="1"/>
  <c r="AT131" i="1"/>
  <c r="AU131" i="1" s="1"/>
  <c r="AV131" i="1"/>
  <c r="AT132" i="1"/>
  <c r="AV133" i="1" s="1"/>
  <c r="AU132" i="1"/>
  <c r="AV132" i="1"/>
  <c r="AT133" i="1"/>
  <c r="AU133" i="1" s="1"/>
  <c r="AT134" i="1"/>
  <c r="AU134" i="1"/>
  <c r="AV134" i="1"/>
  <c r="AT135" i="1"/>
  <c r="AV136" i="1" s="1"/>
  <c r="AU135" i="1"/>
  <c r="AV135" i="1"/>
  <c r="AT136" i="1"/>
  <c r="AU136" i="1"/>
  <c r="AT137" i="1"/>
  <c r="AV138" i="1" s="1"/>
  <c r="AV137" i="1"/>
  <c r="AT138" i="1"/>
  <c r="AU138" i="1" s="1"/>
  <c r="AT139" i="1"/>
  <c r="AU139" i="1" s="1"/>
  <c r="AV139" i="1"/>
  <c r="AT140" i="1"/>
  <c r="AV141" i="1" s="1"/>
  <c r="AU140" i="1"/>
  <c r="AV140" i="1"/>
  <c r="AT141" i="1"/>
  <c r="AU141" i="1" s="1"/>
  <c r="AT142" i="1"/>
  <c r="AU142" i="1"/>
  <c r="AV142" i="1"/>
  <c r="AT143" i="1"/>
  <c r="AV144" i="1" s="1"/>
  <c r="AV143" i="1"/>
  <c r="AT144" i="1"/>
  <c r="AU144" i="1"/>
  <c r="AT145" i="1"/>
  <c r="AV146" i="1" s="1"/>
  <c r="AU145" i="1"/>
  <c r="AV145" i="1"/>
  <c r="AT146" i="1"/>
  <c r="AU146" i="1" s="1"/>
  <c r="AT147" i="1"/>
  <c r="AU147" i="1" s="1"/>
  <c r="AT148" i="1"/>
  <c r="AV149" i="1" s="1"/>
  <c r="AV148" i="1"/>
  <c r="AT149" i="1"/>
  <c r="AU149" i="1" s="1"/>
  <c r="AT150" i="1"/>
  <c r="AU150" i="1"/>
  <c r="AV150" i="1"/>
  <c r="AT151" i="1"/>
  <c r="AV152" i="1" s="1"/>
  <c r="AV151" i="1"/>
  <c r="AT152" i="1"/>
  <c r="AU152" i="1"/>
  <c r="AT153" i="1"/>
  <c r="AV154" i="1" s="1"/>
  <c r="AU153" i="1"/>
  <c r="AV153" i="1"/>
  <c r="AT154" i="1"/>
  <c r="AU154" i="1" s="1"/>
  <c r="AT155" i="1"/>
  <c r="AU155" i="1" s="1"/>
  <c r="AT156" i="1"/>
  <c r="AV157" i="1" s="1"/>
  <c r="AU156" i="1"/>
  <c r="AV156" i="1"/>
  <c r="AT157" i="1"/>
  <c r="AU157" i="1" s="1"/>
  <c r="AT158" i="1"/>
  <c r="AU158" i="1"/>
  <c r="AV158" i="1"/>
  <c r="AT159" i="1"/>
  <c r="AV160" i="1" s="1"/>
  <c r="AU159" i="1"/>
  <c r="AV159" i="1"/>
  <c r="AT160" i="1"/>
  <c r="AU160" i="1"/>
  <c r="AT161" i="1"/>
  <c r="AV162" i="1" s="1"/>
  <c r="AU161" i="1"/>
  <c r="AV161" i="1"/>
  <c r="AT162" i="1"/>
  <c r="AU162" i="1" s="1"/>
  <c r="AT163" i="1"/>
  <c r="AU163" i="1" s="1"/>
  <c r="AV163" i="1"/>
  <c r="AT164" i="1"/>
  <c r="AV165" i="1" s="1"/>
  <c r="AU164" i="1"/>
  <c r="AT165" i="1"/>
  <c r="AU165" i="1" s="1"/>
  <c r="AT166" i="1"/>
  <c r="AU166" i="1"/>
  <c r="AV166" i="1"/>
  <c r="AT167" i="1"/>
  <c r="AV168" i="1" s="1"/>
  <c r="AU167" i="1"/>
  <c r="AV167" i="1"/>
  <c r="AT168" i="1"/>
  <c r="AU168" i="1"/>
  <c r="AT169" i="1"/>
  <c r="AV170" i="1" s="1"/>
  <c r="AU169" i="1"/>
  <c r="AV169" i="1"/>
  <c r="AT170" i="1"/>
  <c r="AU170" i="1" s="1"/>
  <c r="AT171" i="1"/>
  <c r="AU171" i="1" s="1"/>
  <c r="AT172" i="1"/>
  <c r="AU172" i="1" s="1"/>
  <c r="AT173" i="1"/>
  <c r="AU173" i="1" s="1"/>
  <c r="AV173" i="1"/>
  <c r="AT174" i="1"/>
  <c r="AU174" i="1"/>
  <c r="AV174" i="1"/>
  <c r="AT175" i="1"/>
  <c r="AV176" i="1" s="1"/>
  <c r="AV175" i="1"/>
  <c r="AT176" i="1"/>
  <c r="AU176" i="1"/>
  <c r="AT177" i="1"/>
  <c r="AV178" i="1" s="1"/>
  <c r="AU177" i="1"/>
  <c r="AV177" i="1"/>
  <c r="AT178" i="1"/>
  <c r="AU178" i="1" s="1"/>
  <c r="AT179" i="1"/>
  <c r="AU179" i="1" s="1"/>
  <c r="AT180" i="1"/>
  <c r="AV181" i="1" s="1"/>
  <c r="AU180" i="1"/>
  <c r="AV180" i="1"/>
  <c r="AT181" i="1"/>
  <c r="AU181" i="1" s="1"/>
  <c r="AT182" i="1"/>
  <c r="AU182" i="1"/>
  <c r="AV182" i="1"/>
  <c r="AT183" i="1"/>
  <c r="AV184" i="1" s="1"/>
  <c r="AU183" i="1"/>
  <c r="AV183" i="1"/>
  <c r="AT184" i="1"/>
  <c r="AU184" i="1"/>
  <c r="AT185" i="1"/>
  <c r="AV186" i="1" s="1"/>
  <c r="AV185" i="1"/>
  <c r="AT186" i="1"/>
  <c r="AU186" i="1" s="1"/>
  <c r="AT187" i="1"/>
  <c r="AU187" i="1" s="1"/>
  <c r="AV187" i="1"/>
  <c r="AT188" i="1"/>
  <c r="AU188" i="1" s="1"/>
  <c r="AT189" i="1"/>
  <c r="AU189" i="1" s="1"/>
  <c r="AT190" i="1"/>
  <c r="AU190" i="1"/>
  <c r="AV190" i="1"/>
  <c r="AT191" i="1"/>
  <c r="AV192" i="1" s="1"/>
  <c r="AV191" i="1"/>
  <c r="AT192" i="1"/>
  <c r="AU192" i="1"/>
  <c r="AT193" i="1"/>
  <c r="AV194" i="1" s="1"/>
  <c r="AU193" i="1"/>
  <c r="AV193" i="1"/>
  <c r="AT194" i="1"/>
  <c r="AU194" i="1" s="1"/>
  <c r="AT195" i="1"/>
  <c r="AU195" i="1" s="1"/>
  <c r="AT196" i="1"/>
  <c r="AU196" i="1" s="1"/>
  <c r="AV196" i="1"/>
  <c r="AT197" i="1"/>
  <c r="AU197" i="1" s="1"/>
  <c r="AV197" i="1"/>
  <c r="AT198" i="1"/>
  <c r="AU198" i="1"/>
  <c r="AV198" i="1"/>
  <c r="AT199" i="1"/>
  <c r="AV200" i="1" s="1"/>
  <c r="AV199" i="1"/>
  <c r="AT200" i="1"/>
  <c r="AU200" i="1"/>
  <c r="AT201" i="1"/>
  <c r="AV202" i="1" s="1"/>
  <c r="AV201" i="1"/>
  <c r="AT202" i="1"/>
  <c r="AU202" i="1" s="1"/>
  <c r="AT203" i="1"/>
  <c r="AU203" i="1" s="1"/>
  <c r="AV203" i="1"/>
  <c r="AT204" i="1"/>
  <c r="AV205" i="1" s="1"/>
  <c r="AU204" i="1"/>
  <c r="AV204" i="1"/>
  <c r="AT205" i="1"/>
  <c r="AU205" i="1" s="1"/>
  <c r="AT206" i="1"/>
  <c r="AU206" i="1"/>
  <c r="AV206" i="1"/>
  <c r="AT207" i="1"/>
  <c r="AV208" i="1" s="1"/>
  <c r="AU207" i="1"/>
  <c r="AV207" i="1"/>
  <c r="AT208" i="1"/>
  <c r="AU208" i="1"/>
  <c r="AT209" i="1"/>
  <c r="AV210" i="1" s="1"/>
  <c r="AV209" i="1"/>
  <c r="AT210" i="1"/>
  <c r="AU210" i="1" s="1"/>
  <c r="AT211" i="1"/>
  <c r="AU211" i="1" s="1"/>
  <c r="AV211" i="1"/>
  <c r="AT212" i="1"/>
  <c r="AU212" i="1"/>
  <c r="AT213" i="1"/>
  <c r="AU213" i="1" s="1"/>
  <c r="AV213" i="1"/>
  <c r="AT214" i="1"/>
  <c r="AU214" i="1"/>
  <c r="AV214" i="1"/>
  <c r="AT215" i="1"/>
  <c r="AV216" i="1" s="1"/>
  <c r="AU215" i="1"/>
  <c r="AV215" i="1"/>
  <c r="AT216" i="1"/>
  <c r="AU216" i="1"/>
  <c r="AT217" i="1"/>
  <c r="AV218" i="1" s="1"/>
  <c r="AU217" i="1"/>
  <c r="AV217" i="1"/>
  <c r="AT218" i="1"/>
  <c r="AU218" i="1" s="1"/>
  <c r="AT219" i="1"/>
  <c r="AU219" i="1" s="1"/>
  <c r="AV219" i="1"/>
  <c r="AT220" i="1"/>
  <c r="AU220" i="1"/>
  <c r="AV220" i="1"/>
  <c r="AT221" i="1"/>
  <c r="AU221" i="1" s="1"/>
  <c r="AV221" i="1"/>
  <c r="AT222" i="1"/>
  <c r="AU222" i="1"/>
  <c r="AV222" i="1"/>
  <c r="AT223" i="1"/>
  <c r="AV224" i="1" s="1"/>
  <c r="AU223" i="1"/>
  <c r="AV223" i="1"/>
  <c r="AT224" i="1"/>
  <c r="AU224" i="1"/>
  <c r="AT225" i="1"/>
  <c r="AV226" i="1" s="1"/>
  <c r="AU225" i="1"/>
  <c r="AV225" i="1"/>
  <c r="AT226" i="1"/>
  <c r="AU226" i="1" s="1"/>
  <c r="AT227" i="1"/>
  <c r="AU227" i="1" s="1"/>
  <c r="AV227" i="1"/>
  <c r="AT228" i="1"/>
  <c r="AV229" i="1" s="1"/>
  <c r="AU228" i="1"/>
  <c r="AT229" i="1"/>
  <c r="AU229" i="1" s="1"/>
  <c r="AT230" i="1"/>
  <c r="AU230" i="1"/>
  <c r="AV230" i="1"/>
  <c r="AT231" i="1"/>
  <c r="AV232" i="1" s="1"/>
  <c r="AU231" i="1"/>
  <c r="AV231" i="1"/>
  <c r="AT232" i="1"/>
  <c r="AU232" i="1"/>
  <c r="AT233" i="1"/>
  <c r="AV234" i="1" s="1"/>
  <c r="AU233" i="1"/>
  <c r="AV233" i="1"/>
  <c r="AT234" i="1"/>
  <c r="AU234" i="1" s="1"/>
  <c r="AT235" i="1"/>
  <c r="AU235" i="1" s="1"/>
  <c r="AT236" i="1"/>
  <c r="AU236" i="1" s="1"/>
  <c r="AT237" i="1"/>
  <c r="AU237" i="1" s="1"/>
  <c r="AV237" i="1"/>
  <c r="AT238" i="1"/>
  <c r="AU238" i="1"/>
  <c r="AV238" i="1"/>
  <c r="AT239" i="1"/>
  <c r="AV240" i="1" s="1"/>
  <c r="AV239" i="1"/>
  <c r="AT240" i="1"/>
  <c r="AU240" i="1"/>
  <c r="AT241" i="1"/>
  <c r="AV242" i="1" s="1"/>
  <c r="AU241" i="1"/>
  <c r="AV241" i="1"/>
  <c r="AT242" i="1"/>
  <c r="AU242" i="1" s="1"/>
  <c r="AT243" i="1"/>
  <c r="AU243" i="1" s="1"/>
  <c r="AT244" i="1"/>
  <c r="AV245" i="1" s="1"/>
  <c r="AU244" i="1"/>
  <c r="AV244" i="1"/>
  <c r="AT245" i="1"/>
  <c r="AU245" i="1" s="1"/>
  <c r="AT246" i="1"/>
  <c r="AU246" i="1"/>
  <c r="AV246" i="1"/>
  <c r="AT247" i="1"/>
  <c r="AV248" i="1" s="1"/>
  <c r="AU247" i="1"/>
  <c r="AV247" i="1"/>
  <c r="AT248" i="1"/>
  <c r="AU248" i="1"/>
  <c r="AT249" i="1"/>
  <c r="AV250" i="1" s="1"/>
  <c r="AV249" i="1"/>
  <c r="AT250" i="1"/>
  <c r="AU250" i="1" s="1"/>
  <c r="AT251" i="1"/>
  <c r="AU251" i="1" s="1"/>
  <c r="AV251" i="1"/>
  <c r="AT252" i="1"/>
  <c r="AU252" i="1" s="1"/>
  <c r="AT253" i="1"/>
  <c r="AU253" i="1" s="1"/>
  <c r="AT254" i="1"/>
  <c r="AU254" i="1"/>
  <c r="AV254" i="1"/>
  <c r="AT255" i="1"/>
  <c r="AV256" i="1" s="1"/>
  <c r="AV255" i="1"/>
  <c r="AT256" i="1"/>
  <c r="AU256" i="1"/>
  <c r="AT257" i="1"/>
  <c r="AV258" i="1" s="1"/>
  <c r="AU257" i="1"/>
  <c r="AV257" i="1"/>
  <c r="AT258" i="1"/>
  <c r="AU258" i="1" s="1"/>
  <c r="AT259" i="1"/>
  <c r="AU259" i="1" s="1"/>
  <c r="AT260" i="1"/>
  <c r="AU260" i="1" s="1"/>
  <c r="AV260" i="1"/>
  <c r="AT261" i="1"/>
  <c r="AU261" i="1" s="1"/>
  <c r="AV261" i="1"/>
  <c r="AT262" i="1"/>
  <c r="AU262" i="1"/>
  <c r="AV262" i="1"/>
  <c r="AT263" i="1"/>
  <c r="AV264" i="1" s="1"/>
  <c r="AV263" i="1"/>
  <c r="AT264" i="1"/>
  <c r="AU264" i="1"/>
  <c r="AT265" i="1"/>
  <c r="AV266" i="1" s="1"/>
  <c r="AV265" i="1"/>
  <c r="AT266" i="1"/>
  <c r="AU266" i="1" s="1"/>
  <c r="AT267" i="1"/>
  <c r="AU267" i="1" s="1"/>
  <c r="AV267" i="1"/>
  <c r="AT268" i="1"/>
  <c r="AV269" i="1" s="1"/>
  <c r="AU268" i="1"/>
  <c r="AV268" i="1"/>
  <c r="AT269" i="1"/>
  <c r="AU269" i="1" s="1"/>
  <c r="AT270" i="1"/>
  <c r="AU270" i="1"/>
  <c r="AV270" i="1"/>
  <c r="AT271" i="1"/>
  <c r="AV272" i="1" s="1"/>
  <c r="AU271" i="1"/>
  <c r="AV271" i="1"/>
  <c r="AT272" i="1"/>
  <c r="AU272" i="1"/>
  <c r="AT273" i="1"/>
  <c r="AV274" i="1" s="1"/>
  <c r="AV273" i="1"/>
  <c r="AT274" i="1"/>
  <c r="AU274" i="1" s="1"/>
  <c r="AT275" i="1"/>
  <c r="AU275" i="1" s="1"/>
  <c r="AV275" i="1"/>
  <c r="AT276" i="1"/>
  <c r="AU276" i="1"/>
  <c r="AT277" i="1"/>
  <c r="AU277" i="1" s="1"/>
  <c r="AV277" i="1"/>
  <c r="AT278" i="1"/>
  <c r="AU278" i="1"/>
  <c r="AV278" i="1"/>
  <c r="AT279" i="1"/>
  <c r="AV280" i="1" s="1"/>
  <c r="AU279" i="1"/>
  <c r="AV279" i="1"/>
  <c r="AT280" i="1"/>
  <c r="AU280" i="1"/>
  <c r="AT281" i="1"/>
  <c r="AV282" i="1" s="1"/>
  <c r="AU281" i="1"/>
  <c r="AV281" i="1"/>
  <c r="AT282" i="1"/>
  <c r="AU282" i="1" s="1"/>
  <c r="AT283" i="1"/>
  <c r="AU283" i="1" s="1"/>
  <c r="AV283" i="1"/>
  <c r="AT284" i="1"/>
  <c r="AU284" i="1"/>
  <c r="AV284" i="1"/>
  <c r="AT285" i="1"/>
  <c r="AU285" i="1" s="1"/>
  <c r="AV285" i="1"/>
  <c r="AT286" i="1"/>
  <c r="AU286" i="1"/>
  <c r="AV286" i="1"/>
  <c r="AT287" i="1"/>
  <c r="AV288" i="1" s="1"/>
  <c r="AU287" i="1"/>
  <c r="AV287" i="1"/>
  <c r="AT288" i="1"/>
  <c r="AU288" i="1"/>
  <c r="AT289" i="1"/>
  <c r="AV290" i="1" s="1"/>
  <c r="AU289" i="1"/>
  <c r="AV289" i="1"/>
  <c r="AT290" i="1"/>
  <c r="AU290" i="1" s="1"/>
  <c r="AT291" i="1"/>
  <c r="AU291" i="1" s="1"/>
  <c r="AV291" i="1"/>
  <c r="AT292" i="1"/>
  <c r="AV293" i="1" s="1"/>
  <c r="AU292" i="1"/>
  <c r="AT293" i="1"/>
  <c r="AU293" i="1" s="1"/>
  <c r="AT294" i="1"/>
  <c r="AU294" i="1"/>
  <c r="AV294" i="1"/>
  <c r="AT295" i="1"/>
  <c r="AV296" i="1" s="1"/>
  <c r="AU295" i="1"/>
  <c r="AV295" i="1"/>
  <c r="AT296" i="1"/>
  <c r="AU296" i="1"/>
  <c r="AT297" i="1"/>
  <c r="AV298" i="1" s="1"/>
  <c r="AU297" i="1"/>
  <c r="AV297" i="1"/>
  <c r="AT298" i="1"/>
  <c r="AU298" i="1" s="1"/>
  <c r="AT299" i="1"/>
  <c r="AU299" i="1" s="1"/>
  <c r="AT300" i="1"/>
  <c r="AU300" i="1" s="1"/>
  <c r="AT301" i="1"/>
  <c r="AU301" i="1" s="1"/>
  <c r="AV301" i="1"/>
  <c r="AT302" i="1"/>
  <c r="AU302" i="1"/>
  <c r="AV302" i="1"/>
  <c r="AT303" i="1"/>
  <c r="AU303" i="1" s="1"/>
  <c r="AV303" i="1"/>
  <c r="AU12" i="1"/>
  <c r="AT12" i="1"/>
  <c r="AT11" i="1"/>
  <c r="AV12" i="1" s="1"/>
  <c r="AT10" i="1"/>
  <c r="AV11" i="1" s="1"/>
  <c r="AO13" i="1"/>
  <c r="AP13" i="1"/>
  <c r="AQ13" i="1"/>
  <c r="AO14" i="1"/>
  <c r="AP14" i="1"/>
  <c r="AQ14" i="1"/>
  <c r="AO15" i="1"/>
  <c r="AQ16" i="1" s="1"/>
  <c r="AP15" i="1"/>
  <c r="AQ15" i="1"/>
  <c r="AO16" i="1"/>
  <c r="AP16" i="1"/>
  <c r="AO17" i="1"/>
  <c r="AQ18" i="1" s="1"/>
  <c r="AP17" i="1"/>
  <c r="AQ17" i="1"/>
  <c r="AO18" i="1"/>
  <c r="AO19" i="1"/>
  <c r="AP19" i="1" s="1"/>
  <c r="AO20" i="1"/>
  <c r="AQ21" i="1" s="1"/>
  <c r="AP20" i="1"/>
  <c r="AQ20" i="1"/>
  <c r="AO21" i="1"/>
  <c r="AP21" i="1"/>
  <c r="AO22" i="1"/>
  <c r="AP22" i="1"/>
  <c r="AQ22" i="1"/>
  <c r="AO23" i="1"/>
  <c r="AQ24" i="1" s="1"/>
  <c r="AP23" i="1"/>
  <c r="AQ23" i="1"/>
  <c r="AO24" i="1"/>
  <c r="AP24" i="1"/>
  <c r="AO25" i="1"/>
  <c r="AQ26" i="1" s="1"/>
  <c r="AP25" i="1"/>
  <c r="AQ25" i="1"/>
  <c r="AO26" i="1"/>
  <c r="AO27" i="1"/>
  <c r="AP27" i="1" s="1"/>
  <c r="AO28" i="1"/>
  <c r="AQ29" i="1" s="1"/>
  <c r="AP28" i="1"/>
  <c r="AQ28" i="1"/>
  <c r="AO29" i="1"/>
  <c r="AP29" i="1"/>
  <c r="AO30" i="1"/>
  <c r="AP30" i="1"/>
  <c r="AQ30" i="1"/>
  <c r="AO31" i="1"/>
  <c r="AQ32" i="1" s="1"/>
  <c r="AP31" i="1"/>
  <c r="AQ31" i="1"/>
  <c r="AO32" i="1"/>
  <c r="AP32" i="1"/>
  <c r="AO33" i="1"/>
  <c r="AQ34" i="1" s="1"/>
  <c r="AP33" i="1"/>
  <c r="AQ33" i="1"/>
  <c r="AO34" i="1"/>
  <c r="AO35" i="1"/>
  <c r="AP35" i="1" s="1"/>
  <c r="AO36" i="1"/>
  <c r="AQ37" i="1" s="1"/>
  <c r="AP36" i="1"/>
  <c r="AQ36" i="1"/>
  <c r="AO37" i="1"/>
  <c r="AP37" i="1"/>
  <c r="AO38" i="1"/>
  <c r="AP38" i="1"/>
  <c r="AQ38" i="1"/>
  <c r="AO39" i="1"/>
  <c r="AQ40" i="1" s="1"/>
  <c r="AP39" i="1"/>
  <c r="AQ39" i="1"/>
  <c r="AO40" i="1"/>
  <c r="AP40" i="1"/>
  <c r="AO41" i="1"/>
  <c r="AQ42" i="1" s="1"/>
  <c r="AP41" i="1"/>
  <c r="AQ41" i="1"/>
  <c r="AO42" i="1"/>
  <c r="AO43" i="1"/>
  <c r="AP43" i="1" s="1"/>
  <c r="AO44" i="1"/>
  <c r="AQ45" i="1" s="1"/>
  <c r="AP44" i="1"/>
  <c r="AQ44" i="1"/>
  <c r="AO45" i="1"/>
  <c r="AP45" i="1"/>
  <c r="AO46" i="1"/>
  <c r="AP46" i="1"/>
  <c r="AQ46" i="1"/>
  <c r="AO47" i="1"/>
  <c r="AQ48" i="1" s="1"/>
  <c r="AP47" i="1"/>
  <c r="AQ47" i="1"/>
  <c r="AO48" i="1"/>
  <c r="AP48" i="1"/>
  <c r="AO49" i="1"/>
  <c r="AQ50" i="1" s="1"/>
  <c r="AP49" i="1"/>
  <c r="AQ49" i="1"/>
  <c r="AO50" i="1"/>
  <c r="AO51" i="1"/>
  <c r="AP51" i="1" s="1"/>
  <c r="AO52" i="1"/>
  <c r="AQ53" i="1" s="1"/>
  <c r="AP52" i="1"/>
  <c r="AQ52" i="1"/>
  <c r="AO53" i="1"/>
  <c r="AP53" i="1"/>
  <c r="AO54" i="1"/>
  <c r="AP54" i="1"/>
  <c r="AQ54" i="1"/>
  <c r="AO55" i="1"/>
  <c r="AQ56" i="1" s="1"/>
  <c r="AP55" i="1"/>
  <c r="AQ55" i="1"/>
  <c r="AO56" i="1"/>
  <c r="AP56" i="1"/>
  <c r="AO57" i="1"/>
  <c r="AQ58" i="1" s="1"/>
  <c r="AP57" i="1"/>
  <c r="AQ57" i="1"/>
  <c r="AO58" i="1"/>
  <c r="AO59" i="1"/>
  <c r="AP59" i="1" s="1"/>
  <c r="AO60" i="1"/>
  <c r="AQ61" i="1" s="1"/>
  <c r="AP60" i="1"/>
  <c r="AQ60" i="1"/>
  <c r="AO61" i="1"/>
  <c r="AP61" i="1"/>
  <c r="AO62" i="1"/>
  <c r="AP62" i="1"/>
  <c r="AQ62" i="1"/>
  <c r="AO63" i="1"/>
  <c r="AQ64" i="1" s="1"/>
  <c r="AP63" i="1"/>
  <c r="AQ63" i="1"/>
  <c r="AO64" i="1"/>
  <c r="AP64" i="1"/>
  <c r="AO65" i="1"/>
  <c r="AQ66" i="1" s="1"/>
  <c r="AP65" i="1"/>
  <c r="AQ65" i="1"/>
  <c r="AO66" i="1"/>
  <c r="AO67" i="1"/>
  <c r="AP67" i="1" s="1"/>
  <c r="AO68" i="1"/>
  <c r="AQ69" i="1" s="1"/>
  <c r="AP68" i="1"/>
  <c r="AQ68" i="1"/>
  <c r="AO69" i="1"/>
  <c r="AP69" i="1"/>
  <c r="AO70" i="1"/>
  <c r="AP70" i="1"/>
  <c r="AQ70" i="1"/>
  <c r="AO71" i="1"/>
  <c r="AQ72" i="1" s="1"/>
  <c r="AP71" i="1"/>
  <c r="AQ71" i="1"/>
  <c r="AO72" i="1"/>
  <c r="AP72" i="1"/>
  <c r="AO73" i="1"/>
  <c r="AQ74" i="1" s="1"/>
  <c r="AP73" i="1"/>
  <c r="AQ73" i="1"/>
  <c r="AO74" i="1"/>
  <c r="AO75" i="1"/>
  <c r="AP75" i="1" s="1"/>
  <c r="AO76" i="1"/>
  <c r="AQ77" i="1" s="1"/>
  <c r="AP76" i="1"/>
  <c r="AQ76" i="1"/>
  <c r="AO77" i="1"/>
  <c r="AP77" i="1"/>
  <c r="AO78" i="1"/>
  <c r="AP78" i="1"/>
  <c r="AQ78" i="1"/>
  <c r="AO79" i="1"/>
  <c r="AQ80" i="1" s="1"/>
  <c r="AP79" i="1"/>
  <c r="AQ79" i="1"/>
  <c r="AO80" i="1"/>
  <c r="AP80" i="1"/>
  <c r="AO81" i="1"/>
  <c r="AQ82" i="1" s="1"/>
  <c r="AP81" i="1"/>
  <c r="AQ81" i="1"/>
  <c r="AO82" i="1"/>
  <c r="AO83" i="1"/>
  <c r="AP83" i="1" s="1"/>
  <c r="AO84" i="1"/>
  <c r="AQ85" i="1" s="1"/>
  <c r="AP84" i="1"/>
  <c r="AQ84" i="1"/>
  <c r="AO85" i="1"/>
  <c r="AP85" i="1"/>
  <c r="AO86" i="1"/>
  <c r="AP86" i="1"/>
  <c r="AQ86" i="1"/>
  <c r="AO87" i="1"/>
  <c r="AQ88" i="1" s="1"/>
  <c r="AP87" i="1"/>
  <c r="AQ87" i="1"/>
  <c r="AO88" i="1"/>
  <c r="AP88" i="1"/>
  <c r="AO89" i="1"/>
  <c r="AQ90" i="1" s="1"/>
  <c r="AP89" i="1"/>
  <c r="AQ89" i="1"/>
  <c r="AO90" i="1"/>
  <c r="AO91" i="1"/>
  <c r="AP91" i="1" s="1"/>
  <c r="AO92" i="1"/>
  <c r="AQ93" i="1" s="1"/>
  <c r="AP92" i="1"/>
  <c r="AQ92" i="1"/>
  <c r="AO93" i="1"/>
  <c r="AP93" i="1"/>
  <c r="AO94" i="1"/>
  <c r="AP94" i="1"/>
  <c r="AQ94" i="1"/>
  <c r="AO95" i="1"/>
  <c r="AQ96" i="1" s="1"/>
  <c r="AP95" i="1"/>
  <c r="AQ95" i="1"/>
  <c r="AO96" i="1"/>
  <c r="AP96" i="1"/>
  <c r="AO97" i="1"/>
  <c r="AQ98" i="1" s="1"/>
  <c r="AP97" i="1"/>
  <c r="AQ97" i="1"/>
  <c r="AO98" i="1"/>
  <c r="AO99" i="1"/>
  <c r="AP99" i="1" s="1"/>
  <c r="AO100" i="1"/>
  <c r="AQ101" i="1" s="1"/>
  <c r="AP100" i="1"/>
  <c r="AQ100" i="1"/>
  <c r="AO101" i="1"/>
  <c r="AP101" i="1"/>
  <c r="AO102" i="1"/>
  <c r="AP102" i="1"/>
  <c r="AQ102" i="1"/>
  <c r="AO103" i="1"/>
  <c r="AQ104" i="1" s="1"/>
  <c r="AP103" i="1"/>
  <c r="AQ103" i="1"/>
  <c r="AO104" i="1"/>
  <c r="AP104" i="1"/>
  <c r="AO105" i="1"/>
  <c r="AQ106" i="1" s="1"/>
  <c r="AP105" i="1"/>
  <c r="AQ105" i="1"/>
  <c r="AO106" i="1"/>
  <c r="AO107" i="1"/>
  <c r="AP107" i="1" s="1"/>
  <c r="AO108" i="1"/>
  <c r="AQ109" i="1" s="1"/>
  <c r="AP108" i="1"/>
  <c r="AQ108" i="1"/>
  <c r="AO109" i="1"/>
  <c r="AP109" i="1"/>
  <c r="AO110" i="1"/>
  <c r="AP110" i="1"/>
  <c r="AQ110" i="1"/>
  <c r="AO111" i="1"/>
  <c r="AQ112" i="1" s="1"/>
  <c r="AP111" i="1"/>
  <c r="AQ111" i="1"/>
  <c r="AO112" i="1"/>
  <c r="AP112" i="1"/>
  <c r="AO113" i="1"/>
  <c r="AQ114" i="1" s="1"/>
  <c r="AP113" i="1"/>
  <c r="AQ113" i="1"/>
  <c r="AO114" i="1"/>
  <c r="AP114" i="1" s="1"/>
  <c r="AO115" i="1"/>
  <c r="AP115" i="1" s="1"/>
  <c r="AO116" i="1"/>
  <c r="AQ117" i="1" s="1"/>
  <c r="AQ116" i="1"/>
  <c r="AO117" i="1"/>
  <c r="AP117" i="1"/>
  <c r="AO118" i="1"/>
  <c r="AP118" i="1"/>
  <c r="AQ118" i="1"/>
  <c r="AO119" i="1"/>
  <c r="AQ120" i="1" s="1"/>
  <c r="AQ119" i="1"/>
  <c r="AO120" i="1"/>
  <c r="AP120" i="1"/>
  <c r="AO121" i="1"/>
  <c r="AQ122" i="1" s="1"/>
  <c r="AP121" i="1"/>
  <c r="AQ121" i="1"/>
  <c r="AO122" i="1"/>
  <c r="AP122" i="1" s="1"/>
  <c r="AO123" i="1"/>
  <c r="AP123" i="1" s="1"/>
  <c r="AO124" i="1"/>
  <c r="AQ125" i="1" s="1"/>
  <c r="AP124" i="1"/>
  <c r="AQ124" i="1"/>
  <c r="AO125" i="1"/>
  <c r="AP125" i="1"/>
  <c r="AO126" i="1"/>
  <c r="AP126" i="1"/>
  <c r="AQ126" i="1"/>
  <c r="AO127" i="1"/>
  <c r="AQ128" i="1" s="1"/>
  <c r="AP127" i="1"/>
  <c r="AQ127" i="1"/>
  <c r="AO128" i="1"/>
  <c r="AP128" i="1"/>
  <c r="AO129" i="1"/>
  <c r="AQ130" i="1" s="1"/>
  <c r="AQ129" i="1"/>
  <c r="AO130" i="1"/>
  <c r="AP130" i="1" s="1"/>
  <c r="AO131" i="1"/>
  <c r="AP131" i="1" s="1"/>
  <c r="AQ131" i="1"/>
  <c r="AO132" i="1"/>
  <c r="AQ133" i="1" s="1"/>
  <c r="AQ132" i="1"/>
  <c r="AO133" i="1"/>
  <c r="AP133" i="1"/>
  <c r="AO134" i="1"/>
  <c r="AP134" i="1"/>
  <c r="AQ134" i="1"/>
  <c r="AO135" i="1"/>
  <c r="AQ136" i="1" s="1"/>
  <c r="AQ135" i="1"/>
  <c r="AO136" i="1"/>
  <c r="AP136" i="1"/>
  <c r="AO137" i="1"/>
  <c r="AQ138" i="1" s="1"/>
  <c r="AP137" i="1"/>
  <c r="AQ137" i="1"/>
  <c r="AO138" i="1"/>
  <c r="AP138" i="1" s="1"/>
  <c r="AO139" i="1"/>
  <c r="AP139" i="1" s="1"/>
  <c r="AO140" i="1"/>
  <c r="AQ141" i="1" s="1"/>
  <c r="AP140" i="1"/>
  <c r="AQ140" i="1"/>
  <c r="AO141" i="1"/>
  <c r="AP141" i="1"/>
  <c r="AO142" i="1"/>
  <c r="AP142" i="1"/>
  <c r="AQ142" i="1"/>
  <c r="AO143" i="1"/>
  <c r="AQ144" i="1" s="1"/>
  <c r="AP143" i="1"/>
  <c r="AQ143" i="1"/>
  <c r="AO144" i="1"/>
  <c r="AP144" i="1"/>
  <c r="AO145" i="1"/>
  <c r="AQ146" i="1" s="1"/>
  <c r="AQ145" i="1"/>
  <c r="AO146" i="1"/>
  <c r="AP146" i="1" s="1"/>
  <c r="AO147" i="1"/>
  <c r="AP147" i="1" s="1"/>
  <c r="AQ147" i="1"/>
  <c r="AO148" i="1"/>
  <c r="AQ149" i="1" s="1"/>
  <c r="AP148" i="1"/>
  <c r="AQ148" i="1"/>
  <c r="AO149" i="1"/>
  <c r="AP149" i="1"/>
  <c r="AO150" i="1"/>
  <c r="AP150" i="1"/>
  <c r="AQ150" i="1"/>
  <c r="AO151" i="1"/>
  <c r="AQ152" i="1" s="1"/>
  <c r="AP151" i="1"/>
  <c r="AQ151" i="1"/>
  <c r="AO152" i="1"/>
  <c r="AP152" i="1"/>
  <c r="AO153" i="1"/>
  <c r="AQ154" i="1" s="1"/>
  <c r="AP153" i="1"/>
  <c r="AQ153" i="1"/>
  <c r="AO154" i="1"/>
  <c r="AP154" i="1" s="1"/>
  <c r="AO155" i="1"/>
  <c r="AP155" i="1" s="1"/>
  <c r="AQ155" i="1"/>
  <c r="AO156" i="1"/>
  <c r="AQ157" i="1" s="1"/>
  <c r="AP156" i="1"/>
  <c r="AQ156" i="1"/>
  <c r="AO157" i="1"/>
  <c r="AP157" i="1"/>
  <c r="AO158" i="1"/>
  <c r="AP158" i="1"/>
  <c r="AQ158" i="1"/>
  <c r="AO159" i="1"/>
  <c r="AQ160" i="1" s="1"/>
  <c r="AP159" i="1"/>
  <c r="AQ159" i="1"/>
  <c r="AO160" i="1"/>
  <c r="AP160" i="1"/>
  <c r="AO161" i="1"/>
  <c r="AQ162" i="1" s="1"/>
  <c r="AP161" i="1"/>
  <c r="AQ161" i="1"/>
  <c r="AO162" i="1"/>
  <c r="AP162" i="1" s="1"/>
  <c r="AO163" i="1"/>
  <c r="AP163" i="1" s="1"/>
  <c r="AO164" i="1"/>
  <c r="AQ165" i="1" s="1"/>
  <c r="AP164" i="1"/>
  <c r="AQ164" i="1"/>
  <c r="AO165" i="1"/>
  <c r="AP165" i="1"/>
  <c r="AO166" i="1"/>
  <c r="AP166" i="1"/>
  <c r="AQ166" i="1"/>
  <c r="AO167" i="1"/>
  <c r="AQ168" i="1" s="1"/>
  <c r="AP167" i="1"/>
  <c r="AQ167" i="1"/>
  <c r="AO168" i="1"/>
  <c r="AP168" i="1"/>
  <c r="AO169" i="1"/>
  <c r="AQ170" i="1" s="1"/>
  <c r="AP169" i="1"/>
  <c r="AQ169" i="1"/>
  <c r="AO170" i="1"/>
  <c r="AP170" i="1" s="1"/>
  <c r="AO171" i="1"/>
  <c r="AP171" i="1" s="1"/>
  <c r="AQ171" i="1"/>
  <c r="AO172" i="1"/>
  <c r="AQ173" i="1" s="1"/>
  <c r="AP172" i="1"/>
  <c r="AQ172" i="1"/>
  <c r="AO173" i="1"/>
  <c r="AP173" i="1"/>
  <c r="AO174" i="1"/>
  <c r="AP174" i="1"/>
  <c r="AQ174" i="1"/>
  <c r="AO175" i="1"/>
  <c r="AQ176" i="1" s="1"/>
  <c r="AP175" i="1"/>
  <c r="AQ175" i="1"/>
  <c r="AO176" i="1"/>
  <c r="AP176" i="1"/>
  <c r="AO177" i="1"/>
  <c r="AQ178" i="1" s="1"/>
  <c r="AP177" i="1"/>
  <c r="AQ177" i="1"/>
  <c r="AO178" i="1"/>
  <c r="AP178" i="1" s="1"/>
  <c r="AO179" i="1"/>
  <c r="AP179" i="1" s="1"/>
  <c r="AO180" i="1"/>
  <c r="AQ181" i="1" s="1"/>
  <c r="AQ180" i="1"/>
  <c r="AO181" i="1"/>
  <c r="AP181" i="1"/>
  <c r="AO182" i="1"/>
  <c r="AP182" i="1"/>
  <c r="AQ182" i="1"/>
  <c r="AO183" i="1"/>
  <c r="AQ184" i="1" s="1"/>
  <c r="AQ183" i="1"/>
  <c r="AO184" i="1"/>
  <c r="AP184" i="1"/>
  <c r="AO185" i="1"/>
  <c r="AQ186" i="1" s="1"/>
  <c r="AP185" i="1"/>
  <c r="AQ185" i="1"/>
  <c r="AO186" i="1"/>
  <c r="AP186" i="1" s="1"/>
  <c r="AO187" i="1"/>
  <c r="AP187" i="1" s="1"/>
  <c r="AO188" i="1"/>
  <c r="AQ189" i="1" s="1"/>
  <c r="AP188" i="1"/>
  <c r="AQ188" i="1"/>
  <c r="AO189" i="1"/>
  <c r="AP189" i="1"/>
  <c r="AO190" i="1"/>
  <c r="AP190" i="1"/>
  <c r="AQ190" i="1"/>
  <c r="AO191" i="1"/>
  <c r="AQ192" i="1" s="1"/>
  <c r="AP191" i="1"/>
  <c r="AQ191" i="1"/>
  <c r="AO192" i="1"/>
  <c r="AP192" i="1"/>
  <c r="AO193" i="1"/>
  <c r="AQ194" i="1" s="1"/>
  <c r="AQ193" i="1"/>
  <c r="AO194" i="1"/>
  <c r="AP194" i="1" s="1"/>
  <c r="AO195" i="1"/>
  <c r="AP195" i="1" s="1"/>
  <c r="AQ195" i="1"/>
  <c r="AO196" i="1"/>
  <c r="AQ197" i="1" s="1"/>
  <c r="AQ196" i="1"/>
  <c r="AO197" i="1"/>
  <c r="AP197" i="1"/>
  <c r="AO198" i="1"/>
  <c r="AP198" i="1"/>
  <c r="AQ198" i="1"/>
  <c r="AO199" i="1"/>
  <c r="AQ200" i="1" s="1"/>
  <c r="AQ199" i="1"/>
  <c r="AO200" i="1"/>
  <c r="AP200" i="1"/>
  <c r="AO201" i="1"/>
  <c r="AQ202" i="1" s="1"/>
  <c r="AP201" i="1"/>
  <c r="AQ201" i="1"/>
  <c r="AO202" i="1"/>
  <c r="AP202" i="1" s="1"/>
  <c r="AO203" i="1"/>
  <c r="AP203" i="1" s="1"/>
  <c r="AO204" i="1"/>
  <c r="AQ205" i="1" s="1"/>
  <c r="AP204" i="1"/>
  <c r="AQ204" i="1"/>
  <c r="AO205" i="1"/>
  <c r="AP205" i="1"/>
  <c r="AO206" i="1"/>
  <c r="AP206" i="1"/>
  <c r="AQ206" i="1"/>
  <c r="AO207" i="1"/>
  <c r="AQ208" i="1" s="1"/>
  <c r="AP207" i="1"/>
  <c r="AQ207" i="1"/>
  <c r="AO208" i="1"/>
  <c r="AP208" i="1"/>
  <c r="AO209" i="1"/>
  <c r="AQ210" i="1" s="1"/>
  <c r="AQ209" i="1"/>
  <c r="AO210" i="1"/>
  <c r="AP210" i="1" s="1"/>
  <c r="AO211" i="1"/>
  <c r="AP211" i="1" s="1"/>
  <c r="AQ211" i="1"/>
  <c r="AO212" i="1"/>
  <c r="AQ213" i="1" s="1"/>
  <c r="AP212" i="1"/>
  <c r="AQ212" i="1"/>
  <c r="AO213" i="1"/>
  <c r="AP213" i="1"/>
  <c r="AO214" i="1"/>
  <c r="AP214" i="1"/>
  <c r="AQ214" i="1"/>
  <c r="AO215" i="1"/>
  <c r="AQ216" i="1" s="1"/>
  <c r="AP215" i="1"/>
  <c r="AQ215" i="1"/>
  <c r="AO216" i="1"/>
  <c r="AP216" i="1"/>
  <c r="AO217" i="1"/>
  <c r="AQ218" i="1" s="1"/>
  <c r="AP217" i="1"/>
  <c r="AQ217" i="1"/>
  <c r="AO218" i="1"/>
  <c r="AP218" i="1" s="1"/>
  <c r="AO219" i="1"/>
  <c r="AP219" i="1" s="1"/>
  <c r="AQ219" i="1"/>
  <c r="AO220" i="1"/>
  <c r="AQ221" i="1" s="1"/>
  <c r="AP220" i="1"/>
  <c r="AQ220" i="1"/>
  <c r="AO221" i="1"/>
  <c r="AP221" i="1"/>
  <c r="AO222" i="1"/>
  <c r="AP222" i="1"/>
  <c r="AQ222" i="1"/>
  <c r="AO223" i="1"/>
  <c r="AQ224" i="1" s="1"/>
  <c r="AP223" i="1"/>
  <c r="AQ223" i="1"/>
  <c r="AO224" i="1"/>
  <c r="AP224" i="1"/>
  <c r="AO225" i="1"/>
  <c r="AQ226" i="1" s="1"/>
  <c r="AP225" i="1"/>
  <c r="AQ225" i="1"/>
  <c r="AO226" i="1"/>
  <c r="AP226" i="1" s="1"/>
  <c r="AO227" i="1"/>
  <c r="AP227" i="1" s="1"/>
  <c r="AO228" i="1"/>
  <c r="AQ229" i="1" s="1"/>
  <c r="AP228" i="1"/>
  <c r="AQ228" i="1"/>
  <c r="AO229" i="1"/>
  <c r="AP229" i="1"/>
  <c r="AO230" i="1"/>
  <c r="AP230" i="1"/>
  <c r="AQ230" i="1"/>
  <c r="AO231" i="1"/>
  <c r="AQ232" i="1" s="1"/>
  <c r="AP231" i="1"/>
  <c r="AQ231" i="1"/>
  <c r="AO232" i="1"/>
  <c r="AP232" i="1"/>
  <c r="AO233" i="1"/>
  <c r="AQ234" i="1" s="1"/>
  <c r="AP233" i="1"/>
  <c r="AQ233" i="1"/>
  <c r="AO234" i="1"/>
  <c r="AP234" i="1" s="1"/>
  <c r="AO235" i="1"/>
  <c r="AP235" i="1" s="1"/>
  <c r="AQ235" i="1"/>
  <c r="AO236" i="1"/>
  <c r="AQ237" i="1" s="1"/>
  <c r="AP236" i="1"/>
  <c r="AQ236" i="1"/>
  <c r="AO237" i="1"/>
  <c r="AP237" i="1"/>
  <c r="AO238" i="1"/>
  <c r="AP238" i="1"/>
  <c r="AQ238" i="1"/>
  <c r="AO239" i="1"/>
  <c r="AQ240" i="1" s="1"/>
  <c r="AP239" i="1"/>
  <c r="AQ239" i="1"/>
  <c r="AO240" i="1"/>
  <c r="AP240" i="1"/>
  <c r="AO241" i="1"/>
  <c r="AQ242" i="1" s="1"/>
  <c r="AP241" i="1"/>
  <c r="AQ241" i="1"/>
  <c r="AO242" i="1"/>
  <c r="AP242" i="1" s="1"/>
  <c r="AO243" i="1"/>
  <c r="AP243" i="1" s="1"/>
  <c r="AO244" i="1"/>
  <c r="AQ245" i="1" s="1"/>
  <c r="AQ244" i="1"/>
  <c r="AO245" i="1"/>
  <c r="AP245" i="1"/>
  <c r="AO246" i="1"/>
  <c r="AP246" i="1"/>
  <c r="AQ246" i="1"/>
  <c r="AO247" i="1"/>
  <c r="AQ248" i="1" s="1"/>
  <c r="AQ247" i="1"/>
  <c r="AO248" i="1"/>
  <c r="AP248" i="1"/>
  <c r="AO249" i="1"/>
  <c r="AQ250" i="1" s="1"/>
  <c r="AP249" i="1"/>
  <c r="AQ249" i="1"/>
  <c r="AO250" i="1"/>
  <c r="AP250" i="1" s="1"/>
  <c r="AO251" i="1"/>
  <c r="AP251" i="1" s="1"/>
  <c r="AO252" i="1"/>
  <c r="AQ253" i="1" s="1"/>
  <c r="AP252" i="1"/>
  <c r="AQ252" i="1"/>
  <c r="AO253" i="1"/>
  <c r="AP253" i="1"/>
  <c r="AO254" i="1"/>
  <c r="AP254" i="1"/>
  <c r="AQ254" i="1"/>
  <c r="AO255" i="1"/>
  <c r="AQ256" i="1" s="1"/>
  <c r="AP255" i="1"/>
  <c r="AQ255" i="1"/>
  <c r="AO256" i="1"/>
  <c r="AP256" i="1"/>
  <c r="AO257" i="1"/>
  <c r="AQ258" i="1" s="1"/>
  <c r="AQ257" i="1"/>
  <c r="AO258" i="1"/>
  <c r="AP258" i="1" s="1"/>
  <c r="AO259" i="1"/>
  <c r="AP259" i="1" s="1"/>
  <c r="AQ259" i="1"/>
  <c r="AO260" i="1"/>
  <c r="AQ261" i="1" s="1"/>
  <c r="AQ260" i="1"/>
  <c r="AO261" i="1"/>
  <c r="AP261" i="1"/>
  <c r="AO262" i="1"/>
  <c r="AP262" i="1"/>
  <c r="AQ262" i="1"/>
  <c r="AO263" i="1"/>
  <c r="AQ264" i="1" s="1"/>
  <c r="AQ263" i="1"/>
  <c r="AO264" i="1"/>
  <c r="AP264" i="1"/>
  <c r="AO265" i="1"/>
  <c r="AQ266" i="1" s="1"/>
  <c r="AP265" i="1"/>
  <c r="AQ265" i="1"/>
  <c r="AO266" i="1"/>
  <c r="AP266" i="1" s="1"/>
  <c r="AO267" i="1"/>
  <c r="AP267" i="1" s="1"/>
  <c r="AO268" i="1"/>
  <c r="AQ269" i="1" s="1"/>
  <c r="AP268" i="1"/>
  <c r="AQ268" i="1"/>
  <c r="AO269" i="1"/>
  <c r="AP269" i="1"/>
  <c r="AO270" i="1"/>
  <c r="AP270" i="1"/>
  <c r="AQ270" i="1"/>
  <c r="AO271" i="1"/>
  <c r="AQ272" i="1" s="1"/>
  <c r="AP271" i="1"/>
  <c r="AQ271" i="1"/>
  <c r="AO272" i="1"/>
  <c r="AP272" i="1"/>
  <c r="AO273" i="1"/>
  <c r="AQ274" i="1" s="1"/>
  <c r="AQ273" i="1"/>
  <c r="AO274" i="1"/>
  <c r="AP274" i="1" s="1"/>
  <c r="AO275" i="1"/>
  <c r="AP275" i="1" s="1"/>
  <c r="AQ275" i="1"/>
  <c r="AO276" i="1"/>
  <c r="AQ277" i="1" s="1"/>
  <c r="AP276" i="1"/>
  <c r="AQ276" i="1"/>
  <c r="AO277" i="1"/>
  <c r="AP277" i="1"/>
  <c r="AO278" i="1"/>
  <c r="AP278" i="1"/>
  <c r="AQ278" i="1"/>
  <c r="AO279" i="1"/>
  <c r="AQ280" i="1" s="1"/>
  <c r="AP279" i="1"/>
  <c r="AQ279" i="1"/>
  <c r="AO280" i="1"/>
  <c r="AP280" i="1"/>
  <c r="AO281" i="1"/>
  <c r="AQ282" i="1" s="1"/>
  <c r="AP281" i="1"/>
  <c r="AQ281" i="1"/>
  <c r="AO282" i="1"/>
  <c r="AP282" i="1" s="1"/>
  <c r="AO283" i="1"/>
  <c r="AP283" i="1" s="1"/>
  <c r="AQ283" i="1"/>
  <c r="AO284" i="1"/>
  <c r="AQ285" i="1" s="1"/>
  <c r="AP284" i="1"/>
  <c r="AQ284" i="1"/>
  <c r="AO285" i="1"/>
  <c r="AP285" i="1"/>
  <c r="AO286" i="1"/>
  <c r="AP286" i="1"/>
  <c r="AQ286" i="1"/>
  <c r="AO287" i="1"/>
  <c r="AQ288" i="1" s="1"/>
  <c r="AP287" i="1"/>
  <c r="AQ287" i="1"/>
  <c r="AO288" i="1"/>
  <c r="AP288" i="1"/>
  <c r="AO289" i="1"/>
  <c r="AQ290" i="1" s="1"/>
  <c r="AP289" i="1"/>
  <c r="AQ289" i="1"/>
  <c r="AO290" i="1"/>
  <c r="AP290" i="1" s="1"/>
  <c r="AO291" i="1"/>
  <c r="AP291" i="1" s="1"/>
  <c r="AO292" i="1"/>
  <c r="AQ293" i="1" s="1"/>
  <c r="AP292" i="1"/>
  <c r="AQ292" i="1"/>
  <c r="AO293" i="1"/>
  <c r="AP293" i="1"/>
  <c r="AO294" i="1"/>
  <c r="AP294" i="1"/>
  <c r="AQ294" i="1"/>
  <c r="AO295" i="1"/>
  <c r="AQ296" i="1" s="1"/>
  <c r="AP295" i="1"/>
  <c r="AQ295" i="1"/>
  <c r="AO296" i="1"/>
  <c r="AP296" i="1"/>
  <c r="AO297" i="1"/>
  <c r="AQ298" i="1" s="1"/>
  <c r="AP297" i="1"/>
  <c r="AQ297" i="1"/>
  <c r="AO298" i="1"/>
  <c r="AP298" i="1" s="1"/>
  <c r="AO299" i="1"/>
  <c r="AP299" i="1" s="1"/>
  <c r="AQ299" i="1"/>
  <c r="AO300" i="1"/>
  <c r="AQ301" i="1" s="1"/>
  <c r="AP300" i="1"/>
  <c r="AQ300" i="1"/>
  <c r="AO301" i="1"/>
  <c r="AP301" i="1"/>
  <c r="AO302" i="1"/>
  <c r="AP302" i="1"/>
  <c r="AQ302" i="1"/>
  <c r="AO303" i="1"/>
  <c r="AQ304" i="1" s="1"/>
  <c r="AP303" i="1"/>
  <c r="AQ303" i="1"/>
  <c r="AO304" i="1"/>
  <c r="AP304" i="1"/>
  <c r="AQ12" i="1"/>
  <c r="AO12" i="1"/>
  <c r="AP12" i="1" s="1"/>
  <c r="AO11" i="1"/>
  <c r="AP11" i="1" s="1"/>
  <c r="AO10" i="1"/>
  <c r="AQ11" i="1" s="1"/>
  <c r="AJ13" i="1"/>
  <c r="AL13" i="1"/>
  <c r="AJ14" i="1"/>
  <c r="AK14" i="1" s="1"/>
  <c r="AJ15" i="1"/>
  <c r="AL16" i="1" s="1"/>
  <c r="AK15" i="1"/>
  <c r="AL15" i="1"/>
  <c r="AJ16" i="1"/>
  <c r="AK16" i="1"/>
  <c r="AJ17" i="1"/>
  <c r="AK17" i="1"/>
  <c r="AL17" i="1"/>
  <c r="AJ18" i="1"/>
  <c r="AL19" i="1" s="1"/>
  <c r="AK18" i="1"/>
  <c r="AL18" i="1"/>
  <c r="AJ19" i="1"/>
  <c r="AK19" i="1"/>
  <c r="AJ20" i="1"/>
  <c r="AL21" i="1" s="1"/>
  <c r="AK20" i="1"/>
  <c r="AL20" i="1"/>
  <c r="AJ21" i="1"/>
  <c r="AJ22" i="1"/>
  <c r="AK22" i="1" s="1"/>
  <c r="AJ23" i="1"/>
  <c r="AL24" i="1" s="1"/>
  <c r="AK23" i="1"/>
  <c r="AJ24" i="1"/>
  <c r="AK24" i="1"/>
  <c r="AJ25" i="1"/>
  <c r="AK25" i="1"/>
  <c r="AL25" i="1"/>
  <c r="AJ26" i="1"/>
  <c r="AL27" i="1" s="1"/>
  <c r="AL26" i="1"/>
  <c r="AJ27" i="1"/>
  <c r="AK27" i="1"/>
  <c r="AJ28" i="1"/>
  <c r="AL29" i="1" s="1"/>
  <c r="AK28" i="1"/>
  <c r="AL28" i="1"/>
  <c r="AJ29" i="1"/>
  <c r="AJ30" i="1"/>
  <c r="AK30" i="1" s="1"/>
  <c r="AJ31" i="1"/>
  <c r="AK31" i="1" s="1"/>
  <c r="AL31" i="1"/>
  <c r="AJ32" i="1"/>
  <c r="AK32" i="1"/>
  <c r="AL32" i="1"/>
  <c r="AJ33" i="1"/>
  <c r="AK33" i="1"/>
  <c r="AL33" i="1"/>
  <c r="AJ34" i="1"/>
  <c r="AL35" i="1" s="1"/>
  <c r="AK34" i="1"/>
  <c r="AL34" i="1"/>
  <c r="AJ35" i="1"/>
  <c r="AK35" i="1"/>
  <c r="AJ36" i="1"/>
  <c r="AL37" i="1" s="1"/>
  <c r="AK36" i="1"/>
  <c r="AL36" i="1"/>
  <c r="AJ37" i="1"/>
  <c r="AJ38" i="1"/>
  <c r="AK38" i="1" s="1"/>
  <c r="AJ39" i="1"/>
  <c r="AL40" i="1" s="1"/>
  <c r="AK39" i="1"/>
  <c r="AL39" i="1"/>
  <c r="AJ40" i="1"/>
  <c r="AK40" i="1"/>
  <c r="AJ41" i="1"/>
  <c r="AK41" i="1"/>
  <c r="AL41" i="1"/>
  <c r="AJ42" i="1"/>
  <c r="AL43" i="1" s="1"/>
  <c r="AK42" i="1"/>
  <c r="AL42" i="1"/>
  <c r="AJ43" i="1"/>
  <c r="AK43" i="1"/>
  <c r="AJ44" i="1"/>
  <c r="AL45" i="1" s="1"/>
  <c r="AK44" i="1"/>
  <c r="AL44" i="1"/>
  <c r="AJ45" i="1"/>
  <c r="AJ46" i="1"/>
  <c r="AK46" i="1" s="1"/>
  <c r="AJ47" i="1"/>
  <c r="AK47" i="1" s="1"/>
  <c r="AJ48" i="1"/>
  <c r="AK48" i="1"/>
  <c r="AJ49" i="1"/>
  <c r="AK49" i="1"/>
  <c r="AL49" i="1"/>
  <c r="AJ50" i="1"/>
  <c r="AL51" i="1" s="1"/>
  <c r="AL50" i="1"/>
  <c r="AJ51" i="1"/>
  <c r="AK51" i="1"/>
  <c r="AJ52" i="1"/>
  <c r="AL53" i="1" s="1"/>
  <c r="AK52" i="1"/>
  <c r="AL52" i="1"/>
  <c r="AJ53" i="1"/>
  <c r="AJ54" i="1"/>
  <c r="AK54" i="1" s="1"/>
  <c r="AJ55" i="1"/>
  <c r="AK55" i="1"/>
  <c r="AL55" i="1"/>
  <c r="AJ56" i="1"/>
  <c r="AK56" i="1"/>
  <c r="AL56" i="1"/>
  <c r="AJ57" i="1"/>
  <c r="AK57" i="1"/>
  <c r="AL57" i="1"/>
  <c r="AJ58" i="1"/>
  <c r="AL59" i="1" s="1"/>
  <c r="AK58" i="1"/>
  <c r="AL58" i="1"/>
  <c r="AJ59" i="1"/>
  <c r="AK59" i="1"/>
  <c r="AJ60" i="1"/>
  <c r="AL61" i="1" s="1"/>
  <c r="AK60" i="1"/>
  <c r="AL60" i="1"/>
  <c r="AJ61" i="1"/>
  <c r="AJ62" i="1"/>
  <c r="AK62" i="1" s="1"/>
  <c r="AJ63" i="1"/>
  <c r="AL64" i="1" s="1"/>
  <c r="AK63" i="1"/>
  <c r="AL63" i="1"/>
  <c r="AJ64" i="1"/>
  <c r="AK64" i="1"/>
  <c r="AJ65" i="1"/>
  <c r="AK65" i="1"/>
  <c r="AL65" i="1"/>
  <c r="AJ66" i="1"/>
  <c r="AL67" i="1" s="1"/>
  <c r="AK66" i="1"/>
  <c r="AL66" i="1"/>
  <c r="AJ67" i="1"/>
  <c r="AK67" i="1"/>
  <c r="AJ68" i="1"/>
  <c r="AL69" i="1" s="1"/>
  <c r="AK68" i="1"/>
  <c r="AL68" i="1"/>
  <c r="AJ69" i="1"/>
  <c r="AJ70" i="1"/>
  <c r="AK70" i="1" s="1"/>
  <c r="AJ71" i="1"/>
  <c r="AK71" i="1" s="1"/>
  <c r="AJ72" i="1"/>
  <c r="AK72" i="1"/>
  <c r="AL72" i="1"/>
  <c r="AJ73" i="1"/>
  <c r="AK73" i="1"/>
  <c r="AL73" i="1"/>
  <c r="AJ74" i="1"/>
  <c r="AL75" i="1" s="1"/>
  <c r="AL74" i="1"/>
  <c r="AJ75" i="1"/>
  <c r="AK75" i="1"/>
  <c r="AJ76" i="1"/>
  <c r="AL77" i="1" s="1"/>
  <c r="AK76" i="1"/>
  <c r="AL76" i="1"/>
  <c r="AJ77" i="1"/>
  <c r="AJ78" i="1"/>
  <c r="AK78" i="1" s="1"/>
  <c r="AJ79" i="1"/>
  <c r="AL80" i="1" s="1"/>
  <c r="AK79" i="1"/>
  <c r="AL79" i="1"/>
  <c r="AJ80" i="1"/>
  <c r="AK80" i="1"/>
  <c r="AJ81" i="1"/>
  <c r="AK81" i="1"/>
  <c r="AL81" i="1"/>
  <c r="AJ82" i="1"/>
  <c r="AL83" i="1" s="1"/>
  <c r="AK82" i="1"/>
  <c r="AL82" i="1"/>
  <c r="AJ83" i="1"/>
  <c r="AK83" i="1"/>
  <c r="AJ84" i="1"/>
  <c r="AL85" i="1" s="1"/>
  <c r="AK84" i="1"/>
  <c r="AL84" i="1"/>
  <c r="AJ85" i="1"/>
  <c r="AJ86" i="1"/>
  <c r="AK86" i="1" s="1"/>
  <c r="AJ87" i="1"/>
  <c r="AL88" i="1" s="1"/>
  <c r="AK87" i="1"/>
  <c r="AJ88" i="1"/>
  <c r="AK88" i="1"/>
  <c r="AJ89" i="1"/>
  <c r="AK89" i="1"/>
  <c r="AL89" i="1"/>
  <c r="AJ90" i="1"/>
  <c r="AL91" i="1" s="1"/>
  <c r="AL90" i="1"/>
  <c r="AJ91" i="1"/>
  <c r="AK91" i="1"/>
  <c r="AJ92" i="1"/>
  <c r="AL93" i="1" s="1"/>
  <c r="AK92" i="1"/>
  <c r="AL92" i="1"/>
  <c r="AJ93" i="1"/>
  <c r="AJ94" i="1"/>
  <c r="AK94" i="1" s="1"/>
  <c r="AJ95" i="1"/>
  <c r="AK95" i="1" s="1"/>
  <c r="AL95" i="1"/>
  <c r="AJ96" i="1"/>
  <c r="AK96" i="1"/>
  <c r="AL96" i="1"/>
  <c r="AJ97" i="1"/>
  <c r="AK97" i="1"/>
  <c r="AL97" i="1"/>
  <c r="AJ98" i="1"/>
  <c r="AL99" i="1" s="1"/>
  <c r="AK98" i="1"/>
  <c r="AL98" i="1"/>
  <c r="AJ99" i="1"/>
  <c r="AK99" i="1"/>
  <c r="AJ100" i="1"/>
  <c r="AL101" i="1" s="1"/>
  <c r="AK100" i="1"/>
  <c r="AL100" i="1"/>
  <c r="AJ101" i="1"/>
  <c r="AJ102" i="1"/>
  <c r="AK102" i="1" s="1"/>
  <c r="AJ103" i="1"/>
  <c r="AL104" i="1" s="1"/>
  <c r="AK103" i="1"/>
  <c r="AL103" i="1"/>
  <c r="AJ104" i="1"/>
  <c r="AK104" i="1"/>
  <c r="AJ105" i="1"/>
  <c r="AK105" i="1"/>
  <c r="AL105" i="1"/>
  <c r="AJ106" i="1"/>
  <c r="AL107" i="1" s="1"/>
  <c r="AK106" i="1"/>
  <c r="AL106" i="1"/>
  <c r="AJ107" i="1"/>
  <c r="AK107" i="1"/>
  <c r="AJ108" i="1"/>
  <c r="AL109" i="1" s="1"/>
  <c r="AK108" i="1"/>
  <c r="AL108" i="1"/>
  <c r="AJ109" i="1"/>
  <c r="AK109" i="1" s="1"/>
  <c r="AJ110" i="1"/>
  <c r="AK110" i="1" s="1"/>
  <c r="AL110" i="1"/>
  <c r="AJ111" i="1"/>
  <c r="AK111" i="1" s="1"/>
  <c r="AJ112" i="1"/>
  <c r="AK112" i="1"/>
  <c r="AL112" i="1"/>
  <c r="AJ113" i="1"/>
  <c r="AK113" i="1"/>
  <c r="AL113" i="1"/>
  <c r="AJ114" i="1"/>
  <c r="AL115" i="1" s="1"/>
  <c r="AL114" i="1"/>
  <c r="AJ115" i="1"/>
  <c r="AK115" i="1"/>
  <c r="AJ116" i="1"/>
  <c r="AL117" i="1" s="1"/>
  <c r="AK116" i="1"/>
  <c r="AL116" i="1"/>
  <c r="AJ117" i="1"/>
  <c r="AK117" i="1" s="1"/>
  <c r="AJ118" i="1"/>
  <c r="AK118" i="1" s="1"/>
  <c r="AL118" i="1"/>
  <c r="AJ119" i="1"/>
  <c r="AL120" i="1" s="1"/>
  <c r="AK119" i="1"/>
  <c r="AL119" i="1"/>
  <c r="AJ120" i="1"/>
  <c r="AK120" i="1"/>
  <c r="AJ121" i="1"/>
  <c r="AK121" i="1"/>
  <c r="AL121" i="1"/>
  <c r="AJ122" i="1"/>
  <c r="AL123" i="1" s="1"/>
  <c r="AK122" i="1"/>
  <c r="AL122" i="1"/>
  <c r="AJ123" i="1"/>
  <c r="AK123" i="1"/>
  <c r="AJ124" i="1"/>
  <c r="AL125" i="1" s="1"/>
  <c r="AK124" i="1"/>
  <c r="AL124" i="1"/>
  <c r="AJ125" i="1"/>
  <c r="AK125" i="1" s="1"/>
  <c r="AJ126" i="1"/>
  <c r="AK126" i="1" s="1"/>
  <c r="AL126" i="1"/>
  <c r="AJ127" i="1"/>
  <c r="AK127" i="1" s="1"/>
  <c r="AJ128" i="1"/>
  <c r="AK128" i="1"/>
  <c r="AL128" i="1"/>
  <c r="AJ129" i="1"/>
  <c r="AK129" i="1"/>
  <c r="AL129" i="1"/>
  <c r="AJ130" i="1"/>
  <c r="AL131" i="1" s="1"/>
  <c r="AL130" i="1"/>
  <c r="AJ131" i="1"/>
  <c r="AK131" i="1"/>
  <c r="AJ132" i="1"/>
  <c r="AL133" i="1" s="1"/>
  <c r="AK132" i="1"/>
  <c r="AL132" i="1"/>
  <c r="AJ133" i="1"/>
  <c r="AK133" i="1" s="1"/>
  <c r="AJ134" i="1"/>
  <c r="AK134" i="1" s="1"/>
  <c r="AL134" i="1"/>
  <c r="AJ135" i="1"/>
  <c r="AL136" i="1" s="1"/>
  <c r="AK135" i="1"/>
  <c r="AL135" i="1"/>
  <c r="AJ136" i="1"/>
  <c r="AK136" i="1"/>
  <c r="AJ137" i="1"/>
  <c r="AK137" i="1"/>
  <c r="AL137" i="1"/>
  <c r="AJ138" i="1"/>
  <c r="AL139" i="1" s="1"/>
  <c r="AK138" i="1"/>
  <c r="AL138" i="1"/>
  <c r="AJ139" i="1"/>
  <c r="AK139" i="1"/>
  <c r="AJ140" i="1"/>
  <c r="AL141" i="1" s="1"/>
  <c r="AK140" i="1"/>
  <c r="AL140" i="1"/>
  <c r="AJ141" i="1"/>
  <c r="AK141" i="1" s="1"/>
  <c r="AJ142" i="1"/>
  <c r="AK142" i="1" s="1"/>
  <c r="AL142" i="1"/>
  <c r="AJ143" i="1"/>
  <c r="AK143" i="1" s="1"/>
  <c r="AJ144" i="1"/>
  <c r="AK144" i="1"/>
  <c r="AL144" i="1"/>
  <c r="AJ145" i="1"/>
  <c r="AK145" i="1"/>
  <c r="AL145" i="1"/>
  <c r="AJ146" i="1"/>
  <c r="AL147" i="1" s="1"/>
  <c r="AL146" i="1"/>
  <c r="AJ147" i="1"/>
  <c r="AK147" i="1"/>
  <c r="AJ148" i="1"/>
  <c r="AL149" i="1" s="1"/>
  <c r="AK148" i="1"/>
  <c r="AL148" i="1"/>
  <c r="AJ149" i="1"/>
  <c r="AK149" i="1" s="1"/>
  <c r="AJ150" i="1"/>
  <c r="AK150" i="1" s="1"/>
  <c r="AL150" i="1"/>
  <c r="AJ151" i="1"/>
  <c r="AL152" i="1" s="1"/>
  <c r="AK151" i="1"/>
  <c r="AL151" i="1"/>
  <c r="AJ152" i="1"/>
  <c r="AK152" i="1"/>
  <c r="AJ153" i="1"/>
  <c r="AK153" i="1"/>
  <c r="AL153" i="1"/>
  <c r="AJ154" i="1"/>
  <c r="AL155" i="1" s="1"/>
  <c r="AK154" i="1"/>
  <c r="AL154" i="1"/>
  <c r="AJ155" i="1"/>
  <c r="AK155" i="1"/>
  <c r="AJ156" i="1"/>
  <c r="AL157" i="1" s="1"/>
  <c r="AK156" i="1"/>
  <c r="AL156" i="1"/>
  <c r="AJ157" i="1"/>
  <c r="AK157" i="1" s="1"/>
  <c r="AJ158" i="1"/>
  <c r="AK158" i="1" s="1"/>
  <c r="AL158" i="1"/>
  <c r="AJ159" i="1"/>
  <c r="AK159" i="1" s="1"/>
  <c r="AJ160" i="1"/>
  <c r="AK160" i="1"/>
  <c r="AL160" i="1"/>
  <c r="AJ161" i="1"/>
  <c r="AK161" i="1"/>
  <c r="AL161" i="1"/>
  <c r="AJ162" i="1"/>
  <c r="AL163" i="1" s="1"/>
  <c r="AL162" i="1"/>
  <c r="AJ163" i="1"/>
  <c r="AK163" i="1"/>
  <c r="AJ164" i="1"/>
  <c r="AL165" i="1" s="1"/>
  <c r="AK164" i="1"/>
  <c r="AL164" i="1"/>
  <c r="AJ165" i="1"/>
  <c r="AK165" i="1" s="1"/>
  <c r="AJ166" i="1"/>
  <c r="AK166" i="1" s="1"/>
  <c r="AL166" i="1"/>
  <c r="AJ167" i="1"/>
  <c r="AL168" i="1" s="1"/>
  <c r="AK167" i="1"/>
  <c r="AL167" i="1"/>
  <c r="AJ168" i="1"/>
  <c r="AK168" i="1"/>
  <c r="AJ169" i="1"/>
  <c r="AK169" i="1"/>
  <c r="AL169" i="1"/>
  <c r="AJ170" i="1"/>
  <c r="AL171" i="1" s="1"/>
  <c r="AK170" i="1"/>
  <c r="AL170" i="1"/>
  <c r="AJ171" i="1"/>
  <c r="AK171" i="1"/>
  <c r="AJ172" i="1"/>
  <c r="AL173" i="1" s="1"/>
  <c r="AK172" i="1"/>
  <c r="AL172" i="1"/>
  <c r="AJ173" i="1"/>
  <c r="AK173" i="1" s="1"/>
  <c r="AJ174" i="1"/>
  <c r="AK174" i="1" s="1"/>
  <c r="AL174" i="1"/>
  <c r="AJ175" i="1"/>
  <c r="AK175" i="1" s="1"/>
  <c r="AJ176" i="1"/>
  <c r="AK176" i="1"/>
  <c r="AL176" i="1"/>
  <c r="AJ177" i="1"/>
  <c r="AK177" i="1"/>
  <c r="AL177" i="1"/>
  <c r="AJ178" i="1"/>
  <c r="AL179" i="1" s="1"/>
  <c r="AL178" i="1"/>
  <c r="AJ179" i="1"/>
  <c r="AK179" i="1"/>
  <c r="AJ180" i="1"/>
  <c r="AL181" i="1" s="1"/>
  <c r="AK180" i="1"/>
  <c r="AL180" i="1"/>
  <c r="AJ181" i="1"/>
  <c r="AK181" i="1" s="1"/>
  <c r="AJ182" i="1"/>
  <c r="AK182" i="1" s="1"/>
  <c r="AL182" i="1"/>
  <c r="AJ183" i="1"/>
  <c r="AL184" i="1" s="1"/>
  <c r="AK183" i="1"/>
  <c r="AL183" i="1"/>
  <c r="AJ184" i="1"/>
  <c r="AK184" i="1"/>
  <c r="AJ185" i="1"/>
  <c r="AK185" i="1"/>
  <c r="AL185" i="1"/>
  <c r="AJ186" i="1"/>
  <c r="AL187" i="1" s="1"/>
  <c r="AK186" i="1"/>
  <c r="AL186" i="1"/>
  <c r="AJ187" i="1"/>
  <c r="AK187" i="1"/>
  <c r="AJ188" i="1"/>
  <c r="AL189" i="1" s="1"/>
  <c r="AK188" i="1"/>
  <c r="AL188" i="1"/>
  <c r="AJ189" i="1"/>
  <c r="AK189" i="1" s="1"/>
  <c r="AJ190" i="1"/>
  <c r="AK190" i="1" s="1"/>
  <c r="AL190" i="1"/>
  <c r="AJ191" i="1"/>
  <c r="AK191" i="1" s="1"/>
  <c r="AJ192" i="1"/>
  <c r="AK192" i="1"/>
  <c r="AL192" i="1"/>
  <c r="AJ193" i="1"/>
  <c r="AK193" i="1"/>
  <c r="AL193" i="1"/>
  <c r="AJ194" i="1"/>
  <c r="AL195" i="1" s="1"/>
  <c r="AL194" i="1"/>
  <c r="AJ195" i="1"/>
  <c r="AK195" i="1"/>
  <c r="AJ196" i="1"/>
  <c r="AL197" i="1" s="1"/>
  <c r="AK196" i="1"/>
  <c r="AL196" i="1"/>
  <c r="AJ197" i="1"/>
  <c r="AK197" i="1" s="1"/>
  <c r="AJ198" i="1"/>
  <c r="AK198" i="1" s="1"/>
  <c r="AL198" i="1"/>
  <c r="AJ199" i="1"/>
  <c r="AL200" i="1" s="1"/>
  <c r="AK199" i="1"/>
  <c r="AL199" i="1"/>
  <c r="AJ200" i="1"/>
  <c r="AK200" i="1"/>
  <c r="AJ201" i="1"/>
  <c r="AK201" i="1"/>
  <c r="AL201" i="1"/>
  <c r="AJ202" i="1"/>
  <c r="AL203" i="1" s="1"/>
  <c r="AK202" i="1"/>
  <c r="AL202" i="1"/>
  <c r="AJ203" i="1"/>
  <c r="AK203" i="1"/>
  <c r="AJ204" i="1"/>
  <c r="AL205" i="1" s="1"/>
  <c r="AK204" i="1"/>
  <c r="AL204" i="1"/>
  <c r="AJ205" i="1"/>
  <c r="AK205" i="1" s="1"/>
  <c r="AJ206" i="1"/>
  <c r="AK206" i="1" s="1"/>
  <c r="AL206" i="1"/>
  <c r="AJ207" i="1"/>
  <c r="AK207" i="1" s="1"/>
  <c r="AJ208" i="1"/>
  <c r="AK208" i="1"/>
  <c r="AL208" i="1"/>
  <c r="AJ209" i="1"/>
  <c r="AK209" i="1"/>
  <c r="AL209" i="1"/>
  <c r="AJ210" i="1"/>
  <c r="AL211" i="1" s="1"/>
  <c r="AL210" i="1"/>
  <c r="AJ211" i="1"/>
  <c r="AK211" i="1"/>
  <c r="AJ212" i="1"/>
  <c r="AL213" i="1" s="1"/>
  <c r="AK212" i="1"/>
  <c r="AL212" i="1"/>
  <c r="AJ213" i="1"/>
  <c r="AK213" i="1" s="1"/>
  <c r="AJ214" i="1"/>
  <c r="AK214" i="1" s="1"/>
  <c r="AL214" i="1"/>
  <c r="AJ215" i="1"/>
  <c r="AL216" i="1" s="1"/>
  <c r="AK215" i="1"/>
  <c r="AL215" i="1"/>
  <c r="AJ216" i="1"/>
  <c r="AK216" i="1"/>
  <c r="AJ217" i="1"/>
  <c r="AK217" i="1"/>
  <c r="AL217" i="1"/>
  <c r="AJ218" i="1"/>
  <c r="AL219" i="1" s="1"/>
  <c r="AK218" i="1"/>
  <c r="AL218" i="1"/>
  <c r="AJ219" i="1"/>
  <c r="AK219" i="1"/>
  <c r="AJ220" i="1"/>
  <c r="AL221" i="1" s="1"/>
  <c r="AK220" i="1"/>
  <c r="AL220" i="1"/>
  <c r="AJ221" i="1"/>
  <c r="AK221" i="1" s="1"/>
  <c r="AJ222" i="1"/>
  <c r="AK222" i="1" s="1"/>
  <c r="AL222" i="1"/>
  <c r="AJ223" i="1"/>
  <c r="AK223" i="1" s="1"/>
  <c r="AJ224" i="1"/>
  <c r="AK224" i="1"/>
  <c r="AL224" i="1"/>
  <c r="AJ225" i="1"/>
  <c r="AK225" i="1"/>
  <c r="AL225" i="1"/>
  <c r="AJ226" i="1"/>
  <c r="AL227" i="1" s="1"/>
  <c r="AL226" i="1"/>
  <c r="AJ227" i="1"/>
  <c r="AK227" i="1"/>
  <c r="AJ228" i="1"/>
  <c r="AL229" i="1" s="1"/>
  <c r="AK228" i="1"/>
  <c r="AL228" i="1"/>
  <c r="AJ229" i="1"/>
  <c r="AK229" i="1" s="1"/>
  <c r="AJ230" i="1"/>
  <c r="AK230" i="1" s="1"/>
  <c r="AL230" i="1"/>
  <c r="AJ231" i="1"/>
  <c r="AL232" i="1" s="1"/>
  <c r="AK231" i="1"/>
  <c r="AL231" i="1"/>
  <c r="AJ232" i="1"/>
  <c r="AK232" i="1"/>
  <c r="AJ233" i="1"/>
  <c r="AK233" i="1"/>
  <c r="AL233" i="1"/>
  <c r="AJ234" i="1"/>
  <c r="AL235" i="1" s="1"/>
  <c r="AK234" i="1"/>
  <c r="AL234" i="1"/>
  <c r="AJ235" i="1"/>
  <c r="AK235" i="1"/>
  <c r="AJ236" i="1"/>
  <c r="AL237" i="1" s="1"/>
  <c r="AK236" i="1"/>
  <c r="AL236" i="1"/>
  <c r="AJ237" i="1"/>
  <c r="AK237" i="1" s="1"/>
  <c r="AJ238" i="1"/>
  <c r="AK238" i="1" s="1"/>
  <c r="AL238" i="1"/>
  <c r="AJ239" i="1"/>
  <c r="AK239" i="1" s="1"/>
  <c r="AJ240" i="1"/>
  <c r="AK240" i="1"/>
  <c r="AL240" i="1"/>
  <c r="AJ241" i="1"/>
  <c r="AK241" i="1"/>
  <c r="AL241" i="1"/>
  <c r="AJ242" i="1"/>
  <c r="AL243" i="1" s="1"/>
  <c r="AL242" i="1"/>
  <c r="AJ243" i="1"/>
  <c r="AK243" i="1"/>
  <c r="AJ244" i="1"/>
  <c r="AL245" i="1" s="1"/>
  <c r="AK244" i="1"/>
  <c r="AL244" i="1"/>
  <c r="AJ245" i="1"/>
  <c r="AK245" i="1" s="1"/>
  <c r="AJ246" i="1"/>
  <c r="AK246" i="1" s="1"/>
  <c r="AL246" i="1"/>
  <c r="AJ247" i="1"/>
  <c r="AL248" i="1" s="1"/>
  <c r="AK247" i="1"/>
  <c r="AL247" i="1"/>
  <c r="AJ248" i="1"/>
  <c r="AK248" i="1"/>
  <c r="AJ249" i="1"/>
  <c r="AK249" i="1"/>
  <c r="AL249" i="1"/>
  <c r="AJ250" i="1"/>
  <c r="AL251" i="1" s="1"/>
  <c r="AK250" i="1"/>
  <c r="AL250" i="1"/>
  <c r="AJ251" i="1"/>
  <c r="AK251" i="1"/>
  <c r="AJ252" i="1"/>
  <c r="AL253" i="1" s="1"/>
  <c r="AK252" i="1"/>
  <c r="AL252" i="1"/>
  <c r="AJ253" i="1"/>
  <c r="AK253" i="1" s="1"/>
  <c r="AJ254" i="1"/>
  <c r="AK254" i="1" s="1"/>
  <c r="AL254" i="1"/>
  <c r="AJ255" i="1"/>
  <c r="AK255" i="1" s="1"/>
  <c r="AJ256" i="1"/>
  <c r="AK256" i="1"/>
  <c r="AL256" i="1"/>
  <c r="AJ257" i="1"/>
  <c r="AK257" i="1"/>
  <c r="AL257" i="1"/>
  <c r="AJ258" i="1"/>
  <c r="AL259" i="1" s="1"/>
  <c r="AL258" i="1"/>
  <c r="AJ259" i="1"/>
  <c r="AK259" i="1"/>
  <c r="AJ260" i="1"/>
  <c r="AL261" i="1" s="1"/>
  <c r="AK260" i="1"/>
  <c r="AL260" i="1"/>
  <c r="AJ261" i="1"/>
  <c r="AK261" i="1" s="1"/>
  <c r="AJ262" i="1"/>
  <c r="AK262" i="1" s="1"/>
  <c r="AL262" i="1"/>
  <c r="AJ263" i="1"/>
  <c r="AL264" i="1" s="1"/>
  <c r="AK263" i="1"/>
  <c r="AL263" i="1"/>
  <c r="AJ264" i="1"/>
  <c r="AK264" i="1"/>
  <c r="AJ265" i="1"/>
  <c r="AK265" i="1"/>
  <c r="AL265" i="1"/>
  <c r="AJ266" i="1"/>
  <c r="AL267" i="1" s="1"/>
  <c r="AK266" i="1"/>
  <c r="AL266" i="1"/>
  <c r="AJ267" i="1"/>
  <c r="AK267" i="1"/>
  <c r="AJ268" i="1"/>
  <c r="AL269" i="1" s="1"/>
  <c r="AK268" i="1"/>
  <c r="AL268" i="1"/>
  <c r="AJ269" i="1"/>
  <c r="AK269" i="1" s="1"/>
  <c r="AJ270" i="1"/>
  <c r="AK270" i="1" s="1"/>
  <c r="AL270" i="1"/>
  <c r="AJ271" i="1"/>
  <c r="AK271" i="1" s="1"/>
  <c r="AJ272" i="1"/>
  <c r="AK272" i="1"/>
  <c r="AL272" i="1"/>
  <c r="AJ273" i="1"/>
  <c r="AK273" i="1"/>
  <c r="AL273" i="1"/>
  <c r="AJ274" i="1"/>
  <c r="AL275" i="1" s="1"/>
  <c r="AL274" i="1"/>
  <c r="AJ275" i="1"/>
  <c r="AK275" i="1"/>
  <c r="AJ276" i="1"/>
  <c r="AL277" i="1" s="1"/>
  <c r="AK276" i="1"/>
  <c r="AL276" i="1"/>
  <c r="AJ277" i="1"/>
  <c r="AK277" i="1" s="1"/>
  <c r="AJ278" i="1"/>
  <c r="AK278" i="1" s="1"/>
  <c r="AL278" i="1"/>
  <c r="AJ279" i="1"/>
  <c r="AL280" i="1" s="1"/>
  <c r="AK279" i="1"/>
  <c r="AL279" i="1"/>
  <c r="AJ280" i="1"/>
  <c r="AK280" i="1"/>
  <c r="AJ281" i="1"/>
  <c r="AK281" i="1"/>
  <c r="AL281" i="1"/>
  <c r="AJ282" i="1"/>
  <c r="AL283" i="1" s="1"/>
  <c r="AK282" i="1"/>
  <c r="AL282" i="1"/>
  <c r="AJ283" i="1"/>
  <c r="AK283" i="1"/>
  <c r="AJ284" i="1"/>
  <c r="AL285" i="1" s="1"/>
  <c r="AK284" i="1"/>
  <c r="AL284" i="1"/>
  <c r="AJ285" i="1"/>
  <c r="AK285" i="1" s="1"/>
  <c r="AJ286" i="1"/>
  <c r="AK286" i="1" s="1"/>
  <c r="AL286" i="1"/>
  <c r="AJ287" i="1"/>
  <c r="AK287" i="1" s="1"/>
  <c r="AJ288" i="1"/>
  <c r="AK288" i="1"/>
  <c r="AL288" i="1"/>
  <c r="AJ289" i="1"/>
  <c r="AK289" i="1"/>
  <c r="AL289" i="1"/>
  <c r="AJ290" i="1"/>
  <c r="AL291" i="1" s="1"/>
  <c r="AL290" i="1"/>
  <c r="AJ291" i="1"/>
  <c r="AK291" i="1"/>
  <c r="AJ292" i="1"/>
  <c r="AL293" i="1" s="1"/>
  <c r="AK292" i="1"/>
  <c r="AL292" i="1"/>
  <c r="AJ293" i="1"/>
  <c r="AK293" i="1" s="1"/>
  <c r="AJ294" i="1"/>
  <c r="AK294" i="1" s="1"/>
  <c r="AL294" i="1"/>
  <c r="AJ295" i="1"/>
  <c r="AL296" i="1" s="1"/>
  <c r="AK295" i="1"/>
  <c r="AL295" i="1"/>
  <c r="AJ296" i="1"/>
  <c r="AK296" i="1"/>
  <c r="AJ297" i="1"/>
  <c r="AK297" i="1"/>
  <c r="AL297" i="1"/>
  <c r="AJ298" i="1"/>
  <c r="AL299" i="1" s="1"/>
  <c r="AK298" i="1"/>
  <c r="AL298" i="1"/>
  <c r="AJ299" i="1"/>
  <c r="AK299" i="1"/>
  <c r="AJ300" i="1"/>
  <c r="AL301" i="1" s="1"/>
  <c r="AK300" i="1"/>
  <c r="AL300" i="1"/>
  <c r="AJ301" i="1"/>
  <c r="AK301" i="1" s="1"/>
  <c r="AJ302" i="1"/>
  <c r="AK302" i="1" s="1"/>
  <c r="AL302" i="1"/>
  <c r="AJ303" i="1"/>
  <c r="AK303" i="1"/>
  <c r="AJ304" i="1"/>
  <c r="AK304" i="1"/>
  <c r="AL304" i="1"/>
  <c r="AJ12" i="1"/>
  <c r="AK12" i="1" s="1"/>
  <c r="AJ11" i="1"/>
  <c r="AL12" i="1" s="1"/>
  <c r="AJ10" i="1"/>
  <c r="AL11" i="1" s="1"/>
  <c r="AE14" i="1"/>
  <c r="AF14" i="1"/>
  <c r="AG14" i="1"/>
  <c r="AE15" i="1"/>
  <c r="AG16" i="1" s="1"/>
  <c r="AF15" i="1"/>
  <c r="AG15" i="1"/>
  <c r="AE16" i="1"/>
  <c r="AG17" i="1" s="1"/>
  <c r="AF16" i="1"/>
  <c r="AE17" i="1"/>
  <c r="AF17" i="1" s="1"/>
  <c r="AE18" i="1"/>
  <c r="AG19" i="1" s="1"/>
  <c r="AG18" i="1"/>
  <c r="AE19" i="1"/>
  <c r="AF19" i="1" s="1"/>
  <c r="AE20" i="1"/>
  <c r="AF20" i="1"/>
  <c r="AG20" i="1"/>
  <c r="AE21" i="1"/>
  <c r="AG22" i="1" s="1"/>
  <c r="AF21" i="1"/>
  <c r="AG21" i="1"/>
  <c r="AE22" i="1"/>
  <c r="AF22" i="1"/>
  <c r="AE23" i="1"/>
  <c r="AG24" i="1" s="1"/>
  <c r="AF23" i="1"/>
  <c r="AG23" i="1"/>
  <c r="AE24" i="1"/>
  <c r="AG25" i="1" s="1"/>
  <c r="AF24" i="1"/>
  <c r="AE25" i="1"/>
  <c r="AF25" i="1" s="1"/>
  <c r="AE26" i="1"/>
  <c r="AG27" i="1" s="1"/>
  <c r="AF26" i="1"/>
  <c r="AG26" i="1"/>
  <c r="AE27" i="1"/>
  <c r="AF27" i="1" s="1"/>
  <c r="AE28" i="1"/>
  <c r="AF28" i="1"/>
  <c r="AE29" i="1"/>
  <c r="AG30" i="1" s="1"/>
  <c r="AF29" i="1"/>
  <c r="AG29" i="1"/>
  <c r="AE30" i="1"/>
  <c r="AF30" i="1"/>
  <c r="AE31" i="1"/>
  <c r="AG32" i="1" s="1"/>
  <c r="AF31" i="1"/>
  <c r="AG31" i="1"/>
  <c r="AE32" i="1"/>
  <c r="AG33" i="1" s="1"/>
  <c r="AF32" i="1"/>
  <c r="AE33" i="1"/>
  <c r="AF33" i="1" s="1"/>
  <c r="AE34" i="1"/>
  <c r="AG35" i="1" s="1"/>
  <c r="AF34" i="1"/>
  <c r="AG34" i="1"/>
  <c r="AE35" i="1"/>
  <c r="AF35" i="1" s="1"/>
  <c r="AE36" i="1"/>
  <c r="AF36" i="1"/>
  <c r="AG36" i="1"/>
  <c r="AE37" i="1"/>
  <c r="AG38" i="1" s="1"/>
  <c r="AF37" i="1"/>
  <c r="AG37" i="1"/>
  <c r="AE38" i="1"/>
  <c r="AF38" i="1"/>
  <c r="AE39" i="1"/>
  <c r="AG40" i="1" s="1"/>
  <c r="AF39" i="1"/>
  <c r="AG39" i="1"/>
  <c r="AE40" i="1"/>
  <c r="AG41" i="1" s="1"/>
  <c r="AF40" i="1"/>
  <c r="AE41" i="1"/>
  <c r="AF41" i="1" s="1"/>
  <c r="AE42" i="1"/>
  <c r="AG43" i="1" s="1"/>
  <c r="AG42" i="1"/>
  <c r="AE43" i="1"/>
  <c r="AF43" i="1" s="1"/>
  <c r="AE44" i="1"/>
  <c r="AF44" i="1"/>
  <c r="AG44" i="1"/>
  <c r="AE45" i="1"/>
  <c r="AG46" i="1" s="1"/>
  <c r="AF45" i="1"/>
  <c r="AG45" i="1"/>
  <c r="AE46" i="1"/>
  <c r="AF46" i="1"/>
  <c r="AE47" i="1"/>
  <c r="AG48" i="1" s="1"/>
  <c r="AF47" i="1"/>
  <c r="AG47" i="1"/>
  <c r="AE48" i="1"/>
  <c r="AG49" i="1" s="1"/>
  <c r="AF48" i="1"/>
  <c r="AE49" i="1"/>
  <c r="AF49" i="1" s="1"/>
  <c r="AE50" i="1"/>
  <c r="AG51" i="1" s="1"/>
  <c r="AG50" i="1"/>
  <c r="AE51" i="1"/>
  <c r="AF51" i="1" s="1"/>
  <c r="AE52" i="1"/>
  <c r="AF52" i="1"/>
  <c r="AG52" i="1"/>
  <c r="AE53" i="1"/>
  <c r="AG54" i="1" s="1"/>
  <c r="AF53" i="1"/>
  <c r="AG53" i="1"/>
  <c r="AE54" i="1"/>
  <c r="AF54" i="1"/>
  <c r="AE55" i="1"/>
  <c r="AG56" i="1" s="1"/>
  <c r="AF55" i="1"/>
  <c r="AG55" i="1"/>
  <c r="AE56" i="1"/>
  <c r="AG57" i="1" s="1"/>
  <c r="AF56" i="1"/>
  <c r="AE57" i="1"/>
  <c r="AF57" i="1" s="1"/>
  <c r="AE58" i="1"/>
  <c r="AG59" i="1" s="1"/>
  <c r="AF58" i="1"/>
  <c r="AG58" i="1"/>
  <c r="AE59" i="1"/>
  <c r="AF59" i="1" s="1"/>
  <c r="AE60" i="1"/>
  <c r="AF60" i="1"/>
  <c r="AE61" i="1"/>
  <c r="AG62" i="1" s="1"/>
  <c r="AF61" i="1"/>
  <c r="AG61" i="1"/>
  <c r="AE62" i="1"/>
  <c r="AF62" i="1"/>
  <c r="AE63" i="1"/>
  <c r="AG64" i="1" s="1"/>
  <c r="AF63" i="1"/>
  <c r="AG63" i="1"/>
  <c r="AE64" i="1"/>
  <c r="AG65" i="1" s="1"/>
  <c r="AF64" i="1"/>
  <c r="AE65" i="1"/>
  <c r="AF65" i="1" s="1"/>
  <c r="AE66" i="1"/>
  <c r="AG67" i="1" s="1"/>
  <c r="AF66" i="1"/>
  <c r="AG66" i="1"/>
  <c r="AE67" i="1"/>
  <c r="AF67" i="1" s="1"/>
  <c r="AE68" i="1"/>
  <c r="AF68" i="1"/>
  <c r="AG68" i="1"/>
  <c r="AE69" i="1"/>
  <c r="AG70" i="1" s="1"/>
  <c r="AF69" i="1"/>
  <c r="AG69" i="1"/>
  <c r="AE70" i="1"/>
  <c r="AF70" i="1"/>
  <c r="AE71" i="1"/>
  <c r="AG72" i="1" s="1"/>
  <c r="AF71" i="1"/>
  <c r="AG71" i="1"/>
  <c r="AE72" i="1"/>
  <c r="AG73" i="1" s="1"/>
  <c r="AF72" i="1"/>
  <c r="AE73" i="1"/>
  <c r="AF73" i="1" s="1"/>
  <c r="AE74" i="1"/>
  <c r="AG75" i="1" s="1"/>
  <c r="AG74" i="1"/>
  <c r="AE75" i="1"/>
  <c r="AF75" i="1" s="1"/>
  <c r="AE76" i="1"/>
  <c r="AF76" i="1"/>
  <c r="AG76" i="1"/>
  <c r="AE77" i="1"/>
  <c r="AG78" i="1" s="1"/>
  <c r="AF77" i="1"/>
  <c r="AG77" i="1"/>
  <c r="AE78" i="1"/>
  <c r="AF78" i="1"/>
  <c r="AE79" i="1"/>
  <c r="AG80" i="1" s="1"/>
  <c r="AF79" i="1"/>
  <c r="AG79" i="1"/>
  <c r="AE80" i="1"/>
  <c r="AG81" i="1" s="1"/>
  <c r="AF80" i="1"/>
  <c r="AE81" i="1"/>
  <c r="AF81" i="1" s="1"/>
  <c r="AE82" i="1"/>
  <c r="AG83" i="1" s="1"/>
  <c r="AG82" i="1"/>
  <c r="AE83" i="1"/>
  <c r="AF83" i="1" s="1"/>
  <c r="AE84" i="1"/>
  <c r="AF84" i="1"/>
  <c r="AG84" i="1"/>
  <c r="AE85" i="1"/>
  <c r="AG86" i="1" s="1"/>
  <c r="AF85" i="1"/>
  <c r="AG85" i="1"/>
  <c r="AE86" i="1"/>
  <c r="AF86" i="1"/>
  <c r="AE87" i="1"/>
  <c r="AG88" i="1" s="1"/>
  <c r="AF87" i="1"/>
  <c r="AG87" i="1"/>
  <c r="AE88" i="1"/>
  <c r="AG89" i="1" s="1"/>
  <c r="AF88" i="1"/>
  <c r="AE89" i="1"/>
  <c r="AF89" i="1" s="1"/>
  <c r="AE90" i="1"/>
  <c r="AG91" i="1" s="1"/>
  <c r="AF90" i="1"/>
  <c r="AG90" i="1"/>
  <c r="AE91" i="1"/>
  <c r="AF91" i="1" s="1"/>
  <c r="AE92" i="1"/>
  <c r="AF92" i="1"/>
  <c r="AE93" i="1"/>
  <c r="AG94" i="1" s="1"/>
  <c r="AF93" i="1"/>
  <c r="AG93" i="1"/>
  <c r="AE94" i="1"/>
  <c r="AF94" i="1"/>
  <c r="AE95" i="1"/>
  <c r="AG96" i="1" s="1"/>
  <c r="AF95" i="1"/>
  <c r="AG95" i="1"/>
  <c r="AE96" i="1"/>
  <c r="AG97" i="1" s="1"/>
  <c r="AF96" i="1"/>
  <c r="AE97" i="1"/>
  <c r="AF97" i="1" s="1"/>
  <c r="AE98" i="1"/>
  <c r="AG99" i="1" s="1"/>
  <c r="AF98" i="1"/>
  <c r="AG98" i="1"/>
  <c r="AE99" i="1"/>
  <c r="AF99" i="1" s="1"/>
  <c r="AE100" i="1"/>
  <c r="AF100" i="1"/>
  <c r="AG100" i="1"/>
  <c r="AE101" i="1"/>
  <c r="AG102" i="1" s="1"/>
  <c r="AF101" i="1"/>
  <c r="AG101" i="1"/>
  <c r="AE102" i="1"/>
  <c r="AF102" i="1"/>
  <c r="AE103" i="1"/>
  <c r="AG104" i="1" s="1"/>
  <c r="AF103" i="1"/>
  <c r="AG103" i="1"/>
  <c r="AE104" i="1"/>
  <c r="AG105" i="1" s="1"/>
  <c r="AF104" i="1"/>
  <c r="AE105" i="1"/>
  <c r="AF105" i="1" s="1"/>
  <c r="AE106" i="1"/>
  <c r="AG107" i="1" s="1"/>
  <c r="AG106" i="1"/>
  <c r="AE107" i="1"/>
  <c r="AF107" i="1" s="1"/>
  <c r="AE108" i="1"/>
  <c r="AF108" i="1"/>
  <c r="AG108" i="1"/>
  <c r="AE109" i="1"/>
  <c r="AG110" i="1" s="1"/>
  <c r="AF109" i="1"/>
  <c r="AG109" i="1"/>
  <c r="AE110" i="1"/>
  <c r="AF110" i="1"/>
  <c r="AE111" i="1"/>
  <c r="AG112" i="1" s="1"/>
  <c r="AF111" i="1"/>
  <c r="AG111" i="1"/>
  <c r="AE112" i="1"/>
  <c r="AG113" i="1" s="1"/>
  <c r="AF112" i="1"/>
  <c r="AE113" i="1"/>
  <c r="AF113" i="1" s="1"/>
  <c r="AE114" i="1"/>
  <c r="AF114" i="1" s="1"/>
  <c r="AG114" i="1"/>
  <c r="AE115" i="1"/>
  <c r="AF115" i="1" s="1"/>
  <c r="AG115" i="1"/>
  <c r="AE116" i="1"/>
  <c r="AF116" i="1"/>
  <c r="AE117" i="1"/>
  <c r="AG118" i="1" s="1"/>
  <c r="AG117" i="1"/>
  <c r="AE118" i="1"/>
  <c r="AF118" i="1"/>
  <c r="AE119" i="1"/>
  <c r="AG120" i="1" s="1"/>
  <c r="AF119" i="1"/>
  <c r="AG119" i="1"/>
  <c r="AE120" i="1"/>
  <c r="AG121" i="1" s="1"/>
  <c r="AE121" i="1"/>
  <c r="AF121" i="1" s="1"/>
  <c r="AE122" i="1"/>
  <c r="AG123" i="1" s="1"/>
  <c r="AF122" i="1"/>
  <c r="AG122" i="1"/>
  <c r="AE123" i="1"/>
  <c r="AF123" i="1" s="1"/>
  <c r="AE124" i="1"/>
  <c r="AF124" i="1"/>
  <c r="AE125" i="1"/>
  <c r="AG126" i="1" s="1"/>
  <c r="AF125" i="1"/>
  <c r="AG125" i="1"/>
  <c r="AE126" i="1"/>
  <c r="AF126" i="1"/>
  <c r="AE127" i="1"/>
  <c r="AG128" i="1" s="1"/>
  <c r="AF127" i="1"/>
  <c r="AG127" i="1"/>
  <c r="AE128" i="1"/>
  <c r="AG129" i="1" s="1"/>
  <c r="AF128" i="1"/>
  <c r="AE129" i="1"/>
  <c r="AF129" i="1" s="1"/>
  <c r="AE130" i="1"/>
  <c r="AF130" i="1" s="1"/>
  <c r="AE131" i="1"/>
  <c r="AF131" i="1" s="1"/>
  <c r="AE132" i="1"/>
  <c r="AF132" i="1"/>
  <c r="AG132" i="1"/>
  <c r="AE133" i="1"/>
  <c r="AG134" i="1" s="1"/>
  <c r="AG133" i="1"/>
  <c r="AE134" i="1"/>
  <c r="AF134" i="1"/>
  <c r="AE135" i="1"/>
  <c r="AG136" i="1" s="1"/>
  <c r="AF135" i="1"/>
  <c r="AG135" i="1"/>
  <c r="AE136" i="1"/>
  <c r="AG137" i="1" s="1"/>
  <c r="AE137" i="1"/>
  <c r="AF137" i="1" s="1"/>
  <c r="AE138" i="1"/>
  <c r="AF138" i="1"/>
  <c r="AG138" i="1"/>
  <c r="AE139" i="1"/>
  <c r="AF139" i="1" s="1"/>
  <c r="AG139" i="1"/>
  <c r="AE140" i="1"/>
  <c r="AF140" i="1"/>
  <c r="AE141" i="1"/>
  <c r="AG142" i="1" s="1"/>
  <c r="AF141" i="1"/>
  <c r="AG141" i="1"/>
  <c r="AE142" i="1"/>
  <c r="AF142" i="1"/>
  <c r="AE143" i="1"/>
  <c r="AG144" i="1" s="1"/>
  <c r="AF143" i="1"/>
  <c r="AG143" i="1"/>
  <c r="AE144" i="1"/>
  <c r="AG145" i="1" s="1"/>
  <c r="AF144" i="1"/>
  <c r="AE145" i="1"/>
  <c r="AF145" i="1" s="1"/>
  <c r="AE146" i="1"/>
  <c r="AG147" i="1" s="1"/>
  <c r="AF146" i="1"/>
  <c r="AG146" i="1"/>
  <c r="AE147" i="1"/>
  <c r="AF147" i="1" s="1"/>
  <c r="AE148" i="1"/>
  <c r="AF148" i="1"/>
  <c r="AG148" i="1"/>
  <c r="AE149" i="1"/>
  <c r="AG150" i="1" s="1"/>
  <c r="AF149" i="1"/>
  <c r="AG149" i="1"/>
  <c r="AE150" i="1"/>
  <c r="AF150" i="1"/>
  <c r="AE151" i="1"/>
  <c r="AG152" i="1" s="1"/>
  <c r="AF151" i="1"/>
  <c r="AG151" i="1"/>
  <c r="AE152" i="1"/>
  <c r="AG153" i="1" s="1"/>
  <c r="AF152" i="1"/>
  <c r="AE153" i="1"/>
  <c r="AF153" i="1" s="1"/>
  <c r="AE154" i="1"/>
  <c r="AF154" i="1"/>
  <c r="AE155" i="1"/>
  <c r="AF155" i="1" s="1"/>
  <c r="AG155" i="1"/>
  <c r="AE156" i="1"/>
  <c r="AF156" i="1"/>
  <c r="AG156" i="1"/>
  <c r="AE157" i="1"/>
  <c r="AG158" i="1" s="1"/>
  <c r="AF157" i="1"/>
  <c r="AG157" i="1"/>
  <c r="AE158" i="1"/>
  <c r="AF158" i="1"/>
  <c r="AE159" i="1"/>
  <c r="AG160" i="1" s="1"/>
  <c r="AF159" i="1"/>
  <c r="AG159" i="1"/>
  <c r="AE160" i="1"/>
  <c r="AG161" i="1" s="1"/>
  <c r="AF160" i="1"/>
  <c r="AE161" i="1"/>
  <c r="AF161" i="1" s="1"/>
  <c r="AE162" i="1"/>
  <c r="AF162" i="1"/>
  <c r="AG162" i="1"/>
  <c r="AE163" i="1"/>
  <c r="AF163" i="1" s="1"/>
  <c r="AG163" i="1"/>
  <c r="AE164" i="1"/>
  <c r="AF164" i="1"/>
  <c r="AE165" i="1"/>
  <c r="AG166" i="1" s="1"/>
  <c r="AF165" i="1"/>
  <c r="AG165" i="1"/>
  <c r="AE166" i="1"/>
  <c r="AF166" i="1"/>
  <c r="AE167" i="1"/>
  <c r="AG168" i="1" s="1"/>
  <c r="AF167" i="1"/>
  <c r="AG167" i="1"/>
  <c r="AE168" i="1"/>
  <c r="AG169" i="1" s="1"/>
  <c r="AF168" i="1"/>
  <c r="AE169" i="1"/>
  <c r="AF169" i="1" s="1"/>
  <c r="AE170" i="1"/>
  <c r="AG171" i="1" s="1"/>
  <c r="AF170" i="1"/>
  <c r="AE171" i="1"/>
  <c r="AF171" i="1" s="1"/>
  <c r="AE172" i="1"/>
  <c r="AF172" i="1"/>
  <c r="AG172" i="1"/>
  <c r="AE173" i="1"/>
  <c r="AG174" i="1" s="1"/>
  <c r="AF173" i="1"/>
  <c r="AG173" i="1"/>
  <c r="AE174" i="1"/>
  <c r="AF174" i="1"/>
  <c r="AE175" i="1"/>
  <c r="AG176" i="1" s="1"/>
  <c r="AF175" i="1"/>
  <c r="AG175" i="1"/>
  <c r="AE176" i="1"/>
  <c r="AG177" i="1" s="1"/>
  <c r="AF176" i="1"/>
  <c r="AE177" i="1"/>
  <c r="AF177" i="1" s="1"/>
  <c r="AE178" i="1"/>
  <c r="AF178" i="1" s="1"/>
  <c r="AG178" i="1"/>
  <c r="AE179" i="1"/>
  <c r="AF179" i="1" s="1"/>
  <c r="AG179" i="1"/>
  <c r="AE180" i="1"/>
  <c r="AF180" i="1"/>
  <c r="AE181" i="1"/>
  <c r="AG182" i="1" s="1"/>
  <c r="AG181" i="1"/>
  <c r="AE182" i="1"/>
  <c r="AF182" i="1"/>
  <c r="AE183" i="1"/>
  <c r="AG184" i="1" s="1"/>
  <c r="AF183" i="1"/>
  <c r="AG183" i="1"/>
  <c r="AE184" i="1"/>
  <c r="AG185" i="1" s="1"/>
  <c r="AE185" i="1"/>
  <c r="AF185" i="1" s="1"/>
  <c r="AE186" i="1"/>
  <c r="AG187" i="1" s="1"/>
  <c r="AF186" i="1"/>
  <c r="AG186" i="1"/>
  <c r="AE187" i="1"/>
  <c r="AF187" i="1" s="1"/>
  <c r="AE188" i="1"/>
  <c r="AF188" i="1"/>
  <c r="AE189" i="1"/>
  <c r="AG190" i="1" s="1"/>
  <c r="AF189" i="1"/>
  <c r="AG189" i="1"/>
  <c r="AE190" i="1"/>
  <c r="AF190" i="1"/>
  <c r="AE191" i="1"/>
  <c r="AG192" i="1" s="1"/>
  <c r="AF191" i="1"/>
  <c r="AG191" i="1"/>
  <c r="AE192" i="1"/>
  <c r="AG193" i="1" s="1"/>
  <c r="AF192" i="1"/>
  <c r="AE193" i="1"/>
  <c r="AF193" i="1" s="1"/>
  <c r="AE194" i="1"/>
  <c r="AF194" i="1" s="1"/>
  <c r="AE195" i="1"/>
  <c r="AF195" i="1" s="1"/>
  <c r="AE196" i="1"/>
  <c r="AF196" i="1"/>
  <c r="AG196" i="1"/>
  <c r="AE197" i="1"/>
  <c r="AG198" i="1" s="1"/>
  <c r="AG197" i="1"/>
  <c r="AE198" i="1"/>
  <c r="AF198" i="1"/>
  <c r="AE199" i="1"/>
  <c r="AG200" i="1" s="1"/>
  <c r="AF199" i="1"/>
  <c r="AG199" i="1"/>
  <c r="AE200" i="1"/>
  <c r="AG201" i="1" s="1"/>
  <c r="AE201" i="1"/>
  <c r="AF201" i="1" s="1"/>
  <c r="AE202" i="1"/>
  <c r="AF202" i="1"/>
  <c r="AG202" i="1"/>
  <c r="AE203" i="1"/>
  <c r="AF203" i="1" s="1"/>
  <c r="AG203" i="1"/>
  <c r="AE204" i="1"/>
  <c r="AF204" i="1"/>
  <c r="AE205" i="1"/>
  <c r="AG206" i="1" s="1"/>
  <c r="AF205" i="1"/>
  <c r="AG205" i="1"/>
  <c r="AE206" i="1"/>
  <c r="AF206" i="1"/>
  <c r="AE207" i="1"/>
  <c r="AG208" i="1" s="1"/>
  <c r="AF207" i="1"/>
  <c r="AG207" i="1"/>
  <c r="AE208" i="1"/>
  <c r="AG209" i="1" s="1"/>
  <c r="AF208" i="1"/>
  <c r="AE209" i="1"/>
  <c r="AF209" i="1" s="1"/>
  <c r="AE210" i="1"/>
  <c r="AG211" i="1" s="1"/>
  <c r="AF210" i="1"/>
  <c r="AG210" i="1"/>
  <c r="AE211" i="1"/>
  <c r="AF211" i="1" s="1"/>
  <c r="AE212" i="1"/>
  <c r="AF212" i="1"/>
  <c r="AG212" i="1"/>
  <c r="AE213" i="1"/>
  <c r="AG214" i="1" s="1"/>
  <c r="AF213" i="1"/>
  <c r="AG213" i="1"/>
  <c r="AE214" i="1"/>
  <c r="AF214" i="1"/>
  <c r="AE215" i="1"/>
  <c r="AG216" i="1" s="1"/>
  <c r="AF215" i="1"/>
  <c r="AG215" i="1"/>
  <c r="AE216" i="1"/>
  <c r="AG217" i="1" s="1"/>
  <c r="AF216" i="1"/>
  <c r="AE217" i="1"/>
  <c r="AF217" i="1" s="1"/>
  <c r="AE218" i="1"/>
  <c r="AF218" i="1"/>
  <c r="AE219" i="1"/>
  <c r="AF219" i="1" s="1"/>
  <c r="AG219" i="1"/>
  <c r="AE220" i="1"/>
  <c r="AF220" i="1"/>
  <c r="AG220" i="1"/>
  <c r="AE221" i="1"/>
  <c r="AG222" i="1" s="1"/>
  <c r="AF221" i="1"/>
  <c r="AG221" i="1"/>
  <c r="AE222" i="1"/>
  <c r="AF222" i="1"/>
  <c r="AE223" i="1"/>
  <c r="AG224" i="1" s="1"/>
  <c r="AF223" i="1"/>
  <c r="AG223" i="1"/>
  <c r="AE224" i="1"/>
  <c r="AG225" i="1" s="1"/>
  <c r="AF224" i="1"/>
  <c r="AE225" i="1"/>
  <c r="AF225" i="1" s="1"/>
  <c r="AE226" i="1"/>
  <c r="AF226" i="1"/>
  <c r="AG226" i="1"/>
  <c r="AE227" i="1"/>
  <c r="AF227" i="1" s="1"/>
  <c r="AG227" i="1"/>
  <c r="AE228" i="1"/>
  <c r="AF228" i="1"/>
  <c r="AE229" i="1"/>
  <c r="AG230" i="1" s="1"/>
  <c r="AF229" i="1"/>
  <c r="AG229" i="1"/>
  <c r="AE230" i="1"/>
  <c r="AF230" i="1"/>
  <c r="AE231" i="1"/>
  <c r="AG232" i="1" s="1"/>
  <c r="AF231" i="1"/>
  <c r="AG231" i="1"/>
  <c r="AE232" i="1"/>
  <c r="AG233" i="1" s="1"/>
  <c r="AF232" i="1"/>
  <c r="AE233" i="1"/>
  <c r="AF233" i="1" s="1"/>
  <c r="AE234" i="1"/>
  <c r="AG235" i="1" s="1"/>
  <c r="AF234" i="1"/>
  <c r="AE235" i="1"/>
  <c r="AF235" i="1" s="1"/>
  <c r="AE236" i="1"/>
  <c r="AF236" i="1"/>
  <c r="AG236" i="1"/>
  <c r="AE237" i="1"/>
  <c r="AG238" i="1" s="1"/>
  <c r="AF237" i="1"/>
  <c r="AG237" i="1"/>
  <c r="AE238" i="1"/>
  <c r="AF238" i="1"/>
  <c r="AE239" i="1"/>
  <c r="AG240" i="1" s="1"/>
  <c r="AF239" i="1"/>
  <c r="AG239" i="1"/>
  <c r="AE240" i="1"/>
  <c r="AG241" i="1" s="1"/>
  <c r="AF240" i="1"/>
  <c r="AE241" i="1"/>
  <c r="AF241" i="1" s="1"/>
  <c r="AE242" i="1"/>
  <c r="AF242" i="1" s="1"/>
  <c r="AG242" i="1"/>
  <c r="AE243" i="1"/>
  <c r="AF243" i="1" s="1"/>
  <c r="AG243" i="1"/>
  <c r="AE244" i="1"/>
  <c r="AF244" i="1"/>
  <c r="AE245" i="1"/>
  <c r="AG246" i="1" s="1"/>
  <c r="AG245" i="1"/>
  <c r="AE246" i="1"/>
  <c r="AF246" i="1"/>
  <c r="AE247" i="1"/>
  <c r="AG248" i="1" s="1"/>
  <c r="AF247" i="1"/>
  <c r="AG247" i="1"/>
  <c r="AE248" i="1"/>
  <c r="AG249" i="1" s="1"/>
  <c r="AE249" i="1"/>
  <c r="AF249" i="1" s="1"/>
  <c r="AE250" i="1"/>
  <c r="AG251" i="1" s="1"/>
  <c r="AF250" i="1"/>
  <c r="AG250" i="1"/>
  <c r="AE251" i="1"/>
  <c r="AF251" i="1" s="1"/>
  <c r="AE252" i="1"/>
  <c r="AF252" i="1"/>
  <c r="AE253" i="1"/>
  <c r="AG254" i="1" s="1"/>
  <c r="AF253" i="1"/>
  <c r="AG253" i="1"/>
  <c r="AE254" i="1"/>
  <c r="AF254" i="1"/>
  <c r="AE255" i="1"/>
  <c r="AG256" i="1" s="1"/>
  <c r="AF255" i="1"/>
  <c r="AG255" i="1"/>
  <c r="AE256" i="1"/>
  <c r="AG257" i="1" s="1"/>
  <c r="AF256" i="1"/>
  <c r="AE257" i="1"/>
  <c r="AF257" i="1" s="1"/>
  <c r="AE258" i="1"/>
  <c r="AF258" i="1" s="1"/>
  <c r="AE259" i="1"/>
  <c r="AF259" i="1" s="1"/>
  <c r="AE260" i="1"/>
  <c r="AF260" i="1"/>
  <c r="AG260" i="1"/>
  <c r="AE261" i="1"/>
  <c r="AG262" i="1" s="1"/>
  <c r="AG261" i="1"/>
  <c r="AE262" i="1"/>
  <c r="AF262" i="1"/>
  <c r="AE263" i="1"/>
  <c r="AG264" i="1" s="1"/>
  <c r="AF263" i="1"/>
  <c r="AG263" i="1"/>
  <c r="AE264" i="1"/>
  <c r="AG265" i="1" s="1"/>
  <c r="AE265" i="1"/>
  <c r="AF265" i="1" s="1"/>
  <c r="AE266" i="1"/>
  <c r="AF266" i="1"/>
  <c r="AG266" i="1"/>
  <c r="AE267" i="1"/>
  <c r="AF267" i="1" s="1"/>
  <c r="AG267" i="1"/>
  <c r="AE268" i="1"/>
  <c r="AF268" i="1"/>
  <c r="AE269" i="1"/>
  <c r="AG270" i="1" s="1"/>
  <c r="AF269" i="1"/>
  <c r="AG269" i="1"/>
  <c r="AE270" i="1"/>
  <c r="AF270" i="1"/>
  <c r="AE271" i="1"/>
  <c r="AG272" i="1" s="1"/>
  <c r="AF271" i="1"/>
  <c r="AG271" i="1"/>
  <c r="AE272" i="1"/>
  <c r="AG273" i="1" s="1"/>
  <c r="AF272" i="1"/>
  <c r="AE273" i="1"/>
  <c r="AF273" i="1" s="1"/>
  <c r="AE274" i="1"/>
  <c r="AG275" i="1" s="1"/>
  <c r="AF274" i="1"/>
  <c r="AG274" i="1"/>
  <c r="AE275" i="1"/>
  <c r="AF275" i="1" s="1"/>
  <c r="AE276" i="1"/>
  <c r="AF276" i="1"/>
  <c r="AG276" i="1"/>
  <c r="AE277" i="1"/>
  <c r="AG278" i="1" s="1"/>
  <c r="AF277" i="1"/>
  <c r="AG277" i="1"/>
  <c r="AE278" i="1"/>
  <c r="AF278" i="1"/>
  <c r="AE279" i="1"/>
  <c r="AG280" i="1" s="1"/>
  <c r="AF279" i="1"/>
  <c r="AG279" i="1"/>
  <c r="AE280" i="1"/>
  <c r="AG281" i="1" s="1"/>
  <c r="AF280" i="1"/>
  <c r="AE281" i="1"/>
  <c r="AF281" i="1" s="1"/>
  <c r="AE282" i="1"/>
  <c r="AF282" i="1"/>
  <c r="AE283" i="1"/>
  <c r="AF283" i="1" s="1"/>
  <c r="AG283" i="1"/>
  <c r="AE284" i="1"/>
  <c r="AF284" i="1"/>
  <c r="AG284" i="1"/>
  <c r="AE285" i="1"/>
  <c r="AG286" i="1" s="1"/>
  <c r="AF285" i="1"/>
  <c r="AG285" i="1"/>
  <c r="AE286" i="1"/>
  <c r="AF286" i="1"/>
  <c r="AE287" i="1"/>
  <c r="AG288" i="1" s="1"/>
  <c r="AF287" i="1"/>
  <c r="AG287" i="1"/>
  <c r="AE288" i="1"/>
  <c r="AG289" i="1" s="1"/>
  <c r="AF288" i="1"/>
  <c r="AE289" i="1"/>
  <c r="AF289" i="1" s="1"/>
  <c r="AE290" i="1"/>
  <c r="AF290" i="1"/>
  <c r="AG290" i="1"/>
  <c r="AE291" i="1"/>
  <c r="AF291" i="1" s="1"/>
  <c r="AG291" i="1"/>
  <c r="AE292" i="1"/>
  <c r="AF292" i="1"/>
  <c r="AE293" i="1"/>
  <c r="AG294" i="1" s="1"/>
  <c r="AF293" i="1"/>
  <c r="AG293" i="1"/>
  <c r="AE294" i="1"/>
  <c r="AF294" i="1"/>
  <c r="AE295" i="1"/>
  <c r="AG296" i="1" s="1"/>
  <c r="AF295" i="1"/>
  <c r="AG295" i="1"/>
  <c r="AE296" i="1"/>
  <c r="AG297" i="1" s="1"/>
  <c r="AF296" i="1"/>
  <c r="AE297" i="1"/>
  <c r="AF297" i="1" s="1"/>
  <c r="AE298" i="1"/>
  <c r="AG299" i="1" s="1"/>
  <c r="AF298" i="1"/>
  <c r="AE299" i="1"/>
  <c r="AF299" i="1" s="1"/>
  <c r="AE300" i="1"/>
  <c r="AF300" i="1"/>
  <c r="AG300" i="1"/>
  <c r="AE301" i="1"/>
  <c r="AG302" i="1" s="1"/>
  <c r="AF301" i="1"/>
  <c r="AG301" i="1"/>
  <c r="AE302" i="1"/>
  <c r="AF302" i="1"/>
  <c r="AE303" i="1"/>
  <c r="AG304" i="1" s="1"/>
  <c r="AF303" i="1"/>
  <c r="AG303" i="1"/>
  <c r="AE304" i="1"/>
  <c r="AF304" i="1"/>
  <c r="AE13" i="1"/>
  <c r="AF13" i="1" s="1"/>
  <c r="AG12" i="1"/>
  <c r="AE12" i="1"/>
  <c r="AG13" i="1" s="1"/>
  <c r="AF11" i="1"/>
  <c r="AE11" i="1"/>
  <c r="AE10" i="1"/>
  <c r="AF10" i="1" s="1"/>
  <c r="Z12" i="1"/>
  <c r="AA12" i="1"/>
  <c r="AB12" i="1"/>
  <c r="Z13" i="1"/>
  <c r="AB14" i="1" s="1"/>
  <c r="AB13" i="1"/>
  <c r="Z14" i="1"/>
  <c r="AB15" i="1" s="1"/>
  <c r="AA14" i="1"/>
  <c r="Z15" i="1"/>
  <c r="AA15" i="1" s="1"/>
  <c r="Z16" i="1"/>
  <c r="AA16" i="1"/>
  <c r="AB16" i="1"/>
  <c r="Z17" i="1"/>
  <c r="AB17" i="1"/>
  <c r="Z18" i="1"/>
  <c r="AA18" i="1"/>
  <c r="Z19" i="1"/>
  <c r="AB20" i="1" s="1"/>
  <c r="AA19" i="1"/>
  <c r="AB19" i="1"/>
  <c r="Z20" i="1"/>
  <c r="AA20" i="1"/>
  <c r="Z21" i="1"/>
  <c r="AB22" i="1" s="1"/>
  <c r="AB21" i="1"/>
  <c r="Z22" i="1"/>
  <c r="AB23" i="1" s="1"/>
  <c r="AA22" i="1"/>
  <c r="Z23" i="1"/>
  <c r="AA23" i="1" s="1"/>
  <c r="Z24" i="1"/>
  <c r="AA24" i="1"/>
  <c r="AB24" i="1"/>
  <c r="Z25" i="1"/>
  <c r="AB25" i="1"/>
  <c r="Z26" i="1"/>
  <c r="AA26" i="1"/>
  <c r="Z27" i="1"/>
  <c r="AB28" i="1" s="1"/>
  <c r="AA27" i="1"/>
  <c r="AB27" i="1"/>
  <c r="Z28" i="1"/>
  <c r="AA28" i="1"/>
  <c r="Z29" i="1"/>
  <c r="AB30" i="1" s="1"/>
  <c r="AB29" i="1"/>
  <c r="Z30" i="1"/>
  <c r="AB31" i="1" s="1"/>
  <c r="Z31" i="1"/>
  <c r="AA31" i="1" s="1"/>
  <c r="Z32" i="1"/>
  <c r="AA32" i="1"/>
  <c r="AB32" i="1"/>
  <c r="Z33" i="1"/>
  <c r="AB33" i="1"/>
  <c r="Z34" i="1"/>
  <c r="AA34" i="1"/>
  <c r="Z35" i="1"/>
  <c r="AB36" i="1" s="1"/>
  <c r="AA35" i="1"/>
  <c r="AB35" i="1"/>
  <c r="Z36" i="1"/>
  <c r="AA36" i="1"/>
  <c r="Z37" i="1"/>
  <c r="AB38" i="1" s="1"/>
  <c r="AB37" i="1"/>
  <c r="Z38" i="1"/>
  <c r="AB39" i="1" s="1"/>
  <c r="AA38" i="1"/>
  <c r="Z39" i="1"/>
  <c r="AA39" i="1" s="1"/>
  <c r="Z40" i="1"/>
  <c r="AA40" i="1"/>
  <c r="AB40" i="1"/>
  <c r="Z41" i="1"/>
  <c r="AB41" i="1"/>
  <c r="Z42" i="1"/>
  <c r="AA42" i="1"/>
  <c r="Z43" i="1"/>
  <c r="AB44" i="1" s="1"/>
  <c r="AA43" i="1"/>
  <c r="AB43" i="1"/>
  <c r="Z44" i="1"/>
  <c r="AA44" i="1"/>
  <c r="Z45" i="1"/>
  <c r="AB46" i="1" s="1"/>
  <c r="AB45" i="1"/>
  <c r="Z46" i="1"/>
  <c r="AB47" i="1" s="1"/>
  <c r="Z47" i="1"/>
  <c r="AA47" i="1" s="1"/>
  <c r="Z48" i="1"/>
  <c r="AA48" i="1"/>
  <c r="AB48" i="1"/>
  <c r="Z49" i="1"/>
  <c r="AB49" i="1"/>
  <c r="Z50" i="1"/>
  <c r="AA50" i="1"/>
  <c r="Z51" i="1"/>
  <c r="AB52" i="1" s="1"/>
  <c r="AA51" i="1"/>
  <c r="AB51" i="1"/>
  <c r="Z52" i="1"/>
  <c r="AA52" i="1"/>
  <c r="Z53" i="1"/>
  <c r="AB54" i="1" s="1"/>
  <c r="AB53" i="1"/>
  <c r="Z54" i="1"/>
  <c r="AB55" i="1" s="1"/>
  <c r="AA54" i="1"/>
  <c r="Z55" i="1"/>
  <c r="AA55" i="1" s="1"/>
  <c r="Z56" i="1"/>
  <c r="AA56" i="1"/>
  <c r="AB56" i="1"/>
  <c r="Z57" i="1"/>
  <c r="AB57" i="1"/>
  <c r="Z58" i="1"/>
  <c r="AA58" i="1"/>
  <c r="Z59" i="1"/>
  <c r="AB60" i="1" s="1"/>
  <c r="AA59" i="1"/>
  <c r="AB59" i="1"/>
  <c r="Z60" i="1"/>
  <c r="AA60" i="1"/>
  <c r="Z61" i="1"/>
  <c r="AB62" i="1" s="1"/>
  <c r="AB61" i="1"/>
  <c r="Z62" i="1"/>
  <c r="AB63" i="1" s="1"/>
  <c r="AA62" i="1"/>
  <c r="Z63" i="1"/>
  <c r="AA63" i="1" s="1"/>
  <c r="Z64" i="1"/>
  <c r="AA64" i="1"/>
  <c r="AB64" i="1"/>
  <c r="Z65" i="1"/>
  <c r="AB65" i="1"/>
  <c r="Z66" i="1"/>
  <c r="AA66" i="1"/>
  <c r="Z67" i="1"/>
  <c r="AB68" i="1" s="1"/>
  <c r="AA67" i="1"/>
  <c r="AB67" i="1"/>
  <c r="Z68" i="1"/>
  <c r="AA68" i="1"/>
  <c r="Z69" i="1"/>
  <c r="AB70" i="1" s="1"/>
  <c r="AB69" i="1"/>
  <c r="Z70" i="1"/>
  <c r="AB71" i="1" s="1"/>
  <c r="AA70" i="1"/>
  <c r="Z71" i="1"/>
  <c r="AA71" i="1" s="1"/>
  <c r="Z72" i="1"/>
  <c r="AA72" i="1"/>
  <c r="AB72" i="1"/>
  <c r="Z73" i="1"/>
  <c r="AB73" i="1"/>
  <c r="Z74" i="1"/>
  <c r="AA74" i="1"/>
  <c r="Z75" i="1"/>
  <c r="AB76" i="1" s="1"/>
  <c r="AA75" i="1"/>
  <c r="AB75" i="1"/>
  <c r="Z76" i="1"/>
  <c r="AA76" i="1"/>
  <c r="Z77" i="1"/>
  <c r="AB78" i="1" s="1"/>
  <c r="AB77" i="1"/>
  <c r="Z78" i="1"/>
  <c r="AB79" i="1" s="1"/>
  <c r="AA78" i="1"/>
  <c r="Z79" i="1"/>
  <c r="AA79" i="1" s="1"/>
  <c r="Z80" i="1"/>
  <c r="AA80" i="1"/>
  <c r="AB80" i="1"/>
  <c r="Z81" i="1"/>
  <c r="AB81" i="1"/>
  <c r="Z82" i="1"/>
  <c r="AA82" i="1"/>
  <c r="Z83" i="1"/>
  <c r="AB84" i="1" s="1"/>
  <c r="AA83" i="1"/>
  <c r="AB83" i="1"/>
  <c r="Z84" i="1"/>
  <c r="AA84" i="1"/>
  <c r="Z85" i="1"/>
  <c r="AB86" i="1" s="1"/>
  <c r="AB85" i="1"/>
  <c r="Z86" i="1"/>
  <c r="AB87" i="1" s="1"/>
  <c r="AA86" i="1"/>
  <c r="Z87" i="1"/>
  <c r="AA87" i="1" s="1"/>
  <c r="Z88" i="1"/>
  <c r="AA88" i="1"/>
  <c r="AB88" i="1"/>
  <c r="Z89" i="1"/>
  <c r="AB89" i="1"/>
  <c r="Z90" i="1"/>
  <c r="AA90" i="1"/>
  <c r="Z91" i="1"/>
  <c r="AB92" i="1" s="1"/>
  <c r="AA91" i="1"/>
  <c r="AB91" i="1"/>
  <c r="Z92" i="1"/>
  <c r="AA92" i="1"/>
  <c r="Z93" i="1"/>
  <c r="AB94" i="1" s="1"/>
  <c r="AB93" i="1"/>
  <c r="Z94" i="1"/>
  <c r="AB95" i="1" s="1"/>
  <c r="Z95" i="1"/>
  <c r="AA95" i="1" s="1"/>
  <c r="Z96" i="1"/>
  <c r="AA96" i="1"/>
  <c r="AB96" i="1"/>
  <c r="Z97" i="1"/>
  <c r="AB97" i="1"/>
  <c r="Z98" i="1"/>
  <c r="AA98" i="1"/>
  <c r="Z99" i="1"/>
  <c r="AB100" i="1" s="1"/>
  <c r="AA99" i="1"/>
  <c r="AB99" i="1"/>
  <c r="Z100" i="1"/>
  <c r="AA100" i="1"/>
  <c r="Z101" i="1"/>
  <c r="AB102" i="1" s="1"/>
  <c r="AB101" i="1"/>
  <c r="Z102" i="1"/>
  <c r="AB103" i="1" s="1"/>
  <c r="AA102" i="1"/>
  <c r="Z103" i="1"/>
  <c r="AA103" i="1" s="1"/>
  <c r="Z104" i="1"/>
  <c r="AA104" i="1"/>
  <c r="AB104" i="1"/>
  <c r="Z105" i="1"/>
  <c r="AB105" i="1"/>
  <c r="Z106" i="1"/>
  <c r="AA106" i="1"/>
  <c r="Z107" i="1"/>
  <c r="AB108" i="1" s="1"/>
  <c r="AA107" i="1"/>
  <c r="AB107" i="1"/>
  <c r="Z108" i="1"/>
  <c r="AA108" i="1"/>
  <c r="Z109" i="1"/>
  <c r="AB110" i="1" s="1"/>
  <c r="AB109" i="1"/>
  <c r="Z110" i="1"/>
  <c r="AB111" i="1" s="1"/>
  <c r="Z111" i="1"/>
  <c r="AA111" i="1" s="1"/>
  <c r="Z112" i="1"/>
  <c r="AA112" i="1"/>
  <c r="AB112" i="1"/>
  <c r="Z113" i="1"/>
  <c r="AB113" i="1"/>
  <c r="Z114" i="1"/>
  <c r="AA114" i="1"/>
  <c r="Z115" i="1"/>
  <c r="AB116" i="1" s="1"/>
  <c r="AA115" i="1"/>
  <c r="AB115" i="1"/>
  <c r="Z116" i="1"/>
  <c r="AA116" i="1"/>
  <c r="Z117" i="1"/>
  <c r="AB117" i="1"/>
  <c r="Z118" i="1"/>
  <c r="AA118" i="1"/>
  <c r="Z119" i="1"/>
  <c r="AA119" i="1" s="1"/>
  <c r="AB119" i="1"/>
  <c r="Z120" i="1"/>
  <c r="AA120" i="1"/>
  <c r="AB120" i="1"/>
  <c r="Z121" i="1"/>
  <c r="AB121" i="1"/>
  <c r="Z122" i="1"/>
  <c r="AA122" i="1"/>
  <c r="Z123" i="1"/>
  <c r="AB124" i="1" s="1"/>
  <c r="AA123" i="1"/>
  <c r="AB123" i="1"/>
  <c r="Z124" i="1"/>
  <c r="AA124" i="1"/>
  <c r="Z125" i="1"/>
  <c r="AB125" i="1"/>
  <c r="Z126" i="1"/>
  <c r="AA126" i="1"/>
  <c r="Z127" i="1"/>
  <c r="AA127" i="1" s="1"/>
  <c r="AB127" i="1"/>
  <c r="Z128" i="1"/>
  <c r="AA128" i="1"/>
  <c r="AB128" i="1"/>
  <c r="Z129" i="1"/>
  <c r="AB129" i="1"/>
  <c r="Z130" i="1"/>
  <c r="AA130" i="1"/>
  <c r="Z131" i="1"/>
  <c r="AB132" i="1" s="1"/>
  <c r="AA131" i="1"/>
  <c r="AB131" i="1"/>
  <c r="Z132" i="1"/>
  <c r="AA132" i="1"/>
  <c r="Z133" i="1"/>
  <c r="AB133" i="1"/>
  <c r="Z134" i="1"/>
  <c r="AB135" i="1" s="1"/>
  <c r="AA134" i="1"/>
  <c r="Z135" i="1"/>
  <c r="AA135" i="1" s="1"/>
  <c r="Z136" i="1"/>
  <c r="AA136" i="1"/>
  <c r="AB136" i="1"/>
  <c r="Z137" i="1"/>
  <c r="AB137" i="1"/>
  <c r="Z138" i="1"/>
  <c r="AA138" i="1"/>
  <c r="Z139" i="1"/>
  <c r="AB140" i="1" s="1"/>
  <c r="AA139" i="1"/>
  <c r="AB139" i="1"/>
  <c r="Z140" i="1"/>
  <c r="AA140" i="1"/>
  <c r="Z141" i="1"/>
  <c r="AB141" i="1"/>
  <c r="Z142" i="1"/>
  <c r="AA142" i="1"/>
  <c r="Z143" i="1"/>
  <c r="AA143" i="1" s="1"/>
  <c r="AB143" i="1"/>
  <c r="Z144" i="1"/>
  <c r="AA144" i="1"/>
  <c r="AB144" i="1"/>
  <c r="Z145" i="1"/>
  <c r="AB145" i="1"/>
  <c r="Z146" i="1"/>
  <c r="AA146" i="1"/>
  <c r="Z147" i="1"/>
  <c r="AB148" i="1" s="1"/>
  <c r="AA147" i="1"/>
  <c r="AB147" i="1"/>
  <c r="Z148" i="1"/>
  <c r="AA148" i="1"/>
  <c r="Z149" i="1"/>
  <c r="AB149" i="1"/>
  <c r="Z150" i="1"/>
  <c r="AA150" i="1"/>
  <c r="Z151" i="1"/>
  <c r="AA151" i="1" s="1"/>
  <c r="AB151" i="1"/>
  <c r="Z152" i="1"/>
  <c r="AA152" i="1"/>
  <c r="AB152" i="1"/>
  <c r="Z153" i="1"/>
  <c r="AB153" i="1"/>
  <c r="Z154" i="1"/>
  <c r="AA154" i="1"/>
  <c r="Z155" i="1"/>
  <c r="AB156" i="1" s="1"/>
  <c r="AA155" i="1"/>
  <c r="AB155" i="1"/>
  <c r="Z156" i="1"/>
  <c r="AA156" i="1"/>
  <c r="Z157" i="1"/>
  <c r="AB157" i="1"/>
  <c r="Z158" i="1"/>
  <c r="AA158" i="1"/>
  <c r="Z159" i="1"/>
  <c r="AA159" i="1" s="1"/>
  <c r="AB159" i="1"/>
  <c r="Z160" i="1"/>
  <c r="AA160" i="1"/>
  <c r="AB160" i="1"/>
  <c r="Z161" i="1"/>
  <c r="AB161" i="1"/>
  <c r="Z162" i="1"/>
  <c r="AA162" i="1"/>
  <c r="Z163" i="1"/>
  <c r="AB164" i="1" s="1"/>
  <c r="AA163" i="1"/>
  <c r="AB163" i="1"/>
  <c r="Z164" i="1"/>
  <c r="AA164" i="1"/>
  <c r="Z165" i="1"/>
  <c r="AB165" i="1"/>
  <c r="Z166" i="1"/>
  <c r="AB167" i="1" s="1"/>
  <c r="AA166" i="1"/>
  <c r="Z167" i="1"/>
  <c r="AA167" i="1" s="1"/>
  <c r="Z168" i="1"/>
  <c r="AA168" i="1"/>
  <c r="AB168" i="1"/>
  <c r="Z169" i="1"/>
  <c r="AB169" i="1"/>
  <c r="Z170" i="1"/>
  <c r="AA170" i="1"/>
  <c r="Z171" i="1"/>
  <c r="AB172" i="1" s="1"/>
  <c r="AA171" i="1"/>
  <c r="AB171" i="1"/>
  <c r="Z172" i="1"/>
  <c r="AA172" i="1"/>
  <c r="Z173" i="1"/>
  <c r="AB173" i="1"/>
  <c r="Z174" i="1"/>
  <c r="AA174" i="1"/>
  <c r="Z175" i="1"/>
  <c r="AA175" i="1" s="1"/>
  <c r="AB175" i="1"/>
  <c r="Z176" i="1"/>
  <c r="AA176" i="1"/>
  <c r="AB176" i="1"/>
  <c r="Z177" i="1"/>
  <c r="AB177" i="1"/>
  <c r="Z178" i="1"/>
  <c r="AA178" i="1"/>
  <c r="Z179" i="1"/>
  <c r="AB180" i="1" s="1"/>
  <c r="AA179" i="1"/>
  <c r="AB179" i="1"/>
  <c r="Z180" i="1"/>
  <c r="AA180" i="1"/>
  <c r="Z181" i="1"/>
  <c r="AB181" i="1"/>
  <c r="Z182" i="1"/>
  <c r="AA182" i="1"/>
  <c r="Z183" i="1"/>
  <c r="AA183" i="1" s="1"/>
  <c r="AB183" i="1"/>
  <c r="Z184" i="1"/>
  <c r="AA184" i="1"/>
  <c r="AB184" i="1"/>
  <c r="Z185" i="1"/>
  <c r="AB185" i="1"/>
  <c r="Z186" i="1"/>
  <c r="AA186" i="1"/>
  <c r="Z187" i="1"/>
  <c r="AB188" i="1" s="1"/>
  <c r="AA187" i="1"/>
  <c r="AB187" i="1"/>
  <c r="Z188" i="1"/>
  <c r="AA188" i="1"/>
  <c r="Z189" i="1"/>
  <c r="AB189" i="1"/>
  <c r="Z190" i="1"/>
  <c r="AA190" i="1"/>
  <c r="Z191" i="1"/>
  <c r="AA191" i="1" s="1"/>
  <c r="AB191" i="1"/>
  <c r="Z192" i="1"/>
  <c r="AA192" i="1"/>
  <c r="AB192" i="1"/>
  <c r="Z193" i="1"/>
  <c r="AB193" i="1"/>
  <c r="Z194" i="1"/>
  <c r="AA194" i="1"/>
  <c r="Z195" i="1"/>
  <c r="AB196" i="1" s="1"/>
  <c r="AA195" i="1"/>
  <c r="AB195" i="1"/>
  <c r="Z196" i="1"/>
  <c r="AA196" i="1"/>
  <c r="Z197" i="1"/>
  <c r="AB197" i="1"/>
  <c r="Z198" i="1"/>
  <c r="AB199" i="1" s="1"/>
  <c r="AA198" i="1"/>
  <c r="Z199" i="1"/>
  <c r="AA199" i="1" s="1"/>
  <c r="Z200" i="1"/>
  <c r="AA200" i="1"/>
  <c r="AB200" i="1"/>
  <c r="Z201" i="1"/>
  <c r="AB201" i="1"/>
  <c r="Z202" i="1"/>
  <c r="AA202" i="1"/>
  <c r="Z203" i="1"/>
  <c r="AB204" i="1" s="1"/>
  <c r="AA203" i="1"/>
  <c r="AB203" i="1"/>
  <c r="Z204" i="1"/>
  <c r="AA204" i="1"/>
  <c r="Z205" i="1"/>
  <c r="AB205" i="1"/>
  <c r="Z206" i="1"/>
  <c r="AA206" i="1"/>
  <c r="Z207" i="1"/>
  <c r="AA207" i="1" s="1"/>
  <c r="AB207" i="1"/>
  <c r="Z208" i="1"/>
  <c r="AA208" i="1"/>
  <c r="AB208" i="1"/>
  <c r="Z209" i="1"/>
  <c r="AB209" i="1"/>
  <c r="Z210" i="1"/>
  <c r="AA210" i="1"/>
  <c r="Z211" i="1"/>
  <c r="AB212" i="1" s="1"/>
  <c r="AA211" i="1"/>
  <c r="AB211" i="1"/>
  <c r="Z212" i="1"/>
  <c r="AA212" i="1"/>
  <c r="Z213" i="1"/>
  <c r="AB213" i="1"/>
  <c r="Z214" i="1"/>
  <c r="AA214" i="1"/>
  <c r="Z215" i="1"/>
  <c r="AA215" i="1" s="1"/>
  <c r="AB215" i="1"/>
  <c r="Z216" i="1"/>
  <c r="AA216" i="1"/>
  <c r="AB216" i="1"/>
  <c r="Z217" i="1"/>
  <c r="AB217" i="1"/>
  <c r="Z218" i="1"/>
  <c r="AA218" i="1"/>
  <c r="Z219" i="1"/>
  <c r="AB220" i="1" s="1"/>
  <c r="AA219" i="1"/>
  <c r="AB219" i="1"/>
  <c r="Z220" i="1"/>
  <c r="AA220" i="1"/>
  <c r="Z221" i="1"/>
  <c r="AB221" i="1"/>
  <c r="Z222" i="1"/>
  <c r="AA222" i="1"/>
  <c r="Z223" i="1"/>
  <c r="AA223" i="1" s="1"/>
  <c r="AB223" i="1"/>
  <c r="Z224" i="1"/>
  <c r="AA224" i="1"/>
  <c r="AB224" i="1"/>
  <c r="Z225" i="1"/>
  <c r="AB225" i="1"/>
  <c r="Z226" i="1"/>
  <c r="AA226" i="1"/>
  <c r="Z227" i="1"/>
  <c r="AB228" i="1" s="1"/>
  <c r="AA227" i="1"/>
  <c r="AB227" i="1"/>
  <c r="Z228" i="1"/>
  <c r="AA228" i="1"/>
  <c r="Z229" i="1"/>
  <c r="AB229" i="1"/>
  <c r="Z230" i="1"/>
  <c r="AB231" i="1" s="1"/>
  <c r="AA230" i="1"/>
  <c r="Z231" i="1"/>
  <c r="AA231" i="1" s="1"/>
  <c r="Z232" i="1"/>
  <c r="AA232" i="1"/>
  <c r="AB232" i="1"/>
  <c r="Z233" i="1"/>
  <c r="AB233" i="1"/>
  <c r="Z234" i="1"/>
  <c r="AA234" i="1"/>
  <c r="Z235" i="1"/>
  <c r="AB236" i="1" s="1"/>
  <c r="AA235" i="1"/>
  <c r="AB235" i="1"/>
  <c r="Z236" i="1"/>
  <c r="AA236" i="1"/>
  <c r="Z237" i="1"/>
  <c r="AB237" i="1"/>
  <c r="Z238" i="1"/>
  <c r="AA238" i="1"/>
  <c r="Z239" i="1"/>
  <c r="AA239" i="1" s="1"/>
  <c r="AB239" i="1"/>
  <c r="Z240" i="1"/>
  <c r="AA240" i="1"/>
  <c r="AB240" i="1"/>
  <c r="Z241" i="1"/>
  <c r="AB241" i="1"/>
  <c r="Z242" i="1"/>
  <c r="AA242" i="1"/>
  <c r="Z243" i="1"/>
  <c r="AB244" i="1" s="1"/>
  <c r="AA243" i="1"/>
  <c r="AB243" i="1"/>
  <c r="Z244" i="1"/>
  <c r="AA244" i="1"/>
  <c r="Z245" i="1"/>
  <c r="AB245" i="1"/>
  <c r="Z246" i="1"/>
  <c r="AA246" i="1"/>
  <c r="Z247" i="1"/>
  <c r="AA247" i="1" s="1"/>
  <c r="AB247" i="1"/>
  <c r="Z248" i="1"/>
  <c r="AA248" i="1"/>
  <c r="AB248" i="1"/>
  <c r="Z249" i="1"/>
  <c r="AB249" i="1"/>
  <c r="Z250" i="1"/>
  <c r="AA250" i="1"/>
  <c r="Z251" i="1"/>
  <c r="AB252" i="1" s="1"/>
  <c r="AA251" i="1"/>
  <c r="AB251" i="1"/>
  <c r="Z252" i="1"/>
  <c r="AA252" i="1"/>
  <c r="Z253" i="1"/>
  <c r="AB253" i="1"/>
  <c r="Z254" i="1"/>
  <c r="AA254" i="1"/>
  <c r="Z255" i="1"/>
  <c r="AA255" i="1" s="1"/>
  <c r="AB255" i="1"/>
  <c r="Z256" i="1"/>
  <c r="AA256" i="1"/>
  <c r="AB256" i="1"/>
  <c r="Z257" i="1"/>
  <c r="AB257" i="1"/>
  <c r="Z258" i="1"/>
  <c r="AA258" i="1"/>
  <c r="Z259" i="1"/>
  <c r="AB260" i="1" s="1"/>
  <c r="AA259" i="1"/>
  <c r="AB259" i="1"/>
  <c r="Z260" i="1"/>
  <c r="AA260" i="1"/>
  <c r="Z261" i="1"/>
  <c r="AB261" i="1"/>
  <c r="Z262" i="1"/>
  <c r="AB263" i="1" s="1"/>
  <c r="AA262" i="1"/>
  <c r="Z263" i="1"/>
  <c r="AA263" i="1" s="1"/>
  <c r="Z264" i="1"/>
  <c r="AA264" i="1"/>
  <c r="AB264" i="1"/>
  <c r="Z265" i="1"/>
  <c r="AB265" i="1"/>
  <c r="Z266" i="1"/>
  <c r="AA266" i="1"/>
  <c r="Z267" i="1"/>
  <c r="AB268" i="1" s="1"/>
  <c r="AA267" i="1"/>
  <c r="AB267" i="1"/>
  <c r="Z268" i="1"/>
  <c r="AA268" i="1"/>
  <c r="Z269" i="1"/>
  <c r="AB269" i="1"/>
  <c r="Z270" i="1"/>
  <c r="AA270" i="1"/>
  <c r="Z271" i="1"/>
  <c r="AA271" i="1" s="1"/>
  <c r="AB271" i="1"/>
  <c r="Z272" i="1"/>
  <c r="AA272" i="1"/>
  <c r="AB272" i="1"/>
  <c r="Z273" i="1"/>
  <c r="AB273" i="1"/>
  <c r="Z274" i="1"/>
  <c r="AA274" i="1"/>
  <c r="Z275" i="1"/>
  <c r="AB276" i="1" s="1"/>
  <c r="AA275" i="1"/>
  <c r="AB275" i="1"/>
  <c r="Z276" i="1"/>
  <c r="AA276" i="1"/>
  <c r="Z277" i="1"/>
  <c r="AB277" i="1"/>
  <c r="Z278" i="1"/>
  <c r="AA278" i="1"/>
  <c r="Z279" i="1"/>
  <c r="AA279" i="1" s="1"/>
  <c r="AB279" i="1"/>
  <c r="Z280" i="1"/>
  <c r="AA280" i="1"/>
  <c r="AB280" i="1"/>
  <c r="Z281" i="1"/>
  <c r="AB281" i="1"/>
  <c r="Z282" i="1"/>
  <c r="AA282" i="1"/>
  <c r="Z283" i="1"/>
  <c r="AB284" i="1" s="1"/>
  <c r="AA283" i="1"/>
  <c r="AB283" i="1"/>
  <c r="Z284" i="1"/>
  <c r="AA284" i="1"/>
  <c r="Z285" i="1"/>
  <c r="AB285" i="1"/>
  <c r="Z286" i="1"/>
  <c r="AA286" i="1"/>
  <c r="Z287" i="1"/>
  <c r="AA287" i="1" s="1"/>
  <c r="AB287" i="1"/>
  <c r="Z288" i="1"/>
  <c r="AA288" i="1"/>
  <c r="AB288" i="1"/>
  <c r="Z289" i="1"/>
  <c r="AB289" i="1"/>
  <c r="Z290" i="1"/>
  <c r="AA290" i="1"/>
  <c r="Z291" i="1"/>
  <c r="AB292" i="1" s="1"/>
  <c r="AA291" i="1"/>
  <c r="AB291" i="1"/>
  <c r="Z292" i="1"/>
  <c r="AA292" i="1"/>
  <c r="Z293" i="1"/>
  <c r="AB293" i="1"/>
  <c r="Z294" i="1"/>
  <c r="AB295" i="1" s="1"/>
  <c r="AA294" i="1"/>
  <c r="Z295" i="1"/>
  <c r="AA295" i="1" s="1"/>
  <c r="Z296" i="1"/>
  <c r="AA296" i="1"/>
  <c r="AB296" i="1"/>
  <c r="Z297" i="1"/>
  <c r="AB297" i="1"/>
  <c r="Z298" i="1"/>
  <c r="AA298" i="1"/>
  <c r="Z299" i="1"/>
  <c r="AB300" i="1" s="1"/>
  <c r="AA299" i="1"/>
  <c r="AB299" i="1"/>
  <c r="Z300" i="1"/>
  <c r="AA300" i="1"/>
  <c r="Z301" i="1"/>
  <c r="AB301" i="1"/>
  <c r="Z302" i="1"/>
  <c r="AA302" i="1"/>
  <c r="Z303" i="1"/>
  <c r="AA303" i="1" s="1"/>
  <c r="AB303" i="1"/>
  <c r="Z304" i="1"/>
  <c r="AA304" i="1"/>
  <c r="AB304" i="1"/>
  <c r="Z11" i="1"/>
  <c r="AA11" i="1" s="1"/>
  <c r="AA10" i="1"/>
  <c r="Z10" i="1"/>
  <c r="AB11" i="1" s="1"/>
  <c r="U13" i="1"/>
  <c r="V13" i="1" s="1"/>
  <c r="U14" i="1"/>
  <c r="W15" i="1" s="1"/>
  <c r="V14" i="1"/>
  <c r="W14" i="1"/>
  <c r="U15" i="1"/>
  <c r="W16" i="1" s="1"/>
  <c r="U16" i="1"/>
  <c r="V16" i="1"/>
  <c r="U17" i="1"/>
  <c r="W18" i="1" s="1"/>
  <c r="V17" i="1"/>
  <c r="W17" i="1"/>
  <c r="U18" i="1"/>
  <c r="U19" i="1"/>
  <c r="V19" i="1" s="1"/>
  <c r="U20" i="1"/>
  <c r="W21" i="1" s="1"/>
  <c r="W20" i="1"/>
  <c r="U21" i="1"/>
  <c r="V21" i="1"/>
  <c r="U22" i="1"/>
  <c r="V22" i="1"/>
  <c r="W22" i="1"/>
  <c r="U23" i="1"/>
  <c r="W24" i="1" s="1"/>
  <c r="W23" i="1"/>
  <c r="U24" i="1"/>
  <c r="V24" i="1"/>
  <c r="U25" i="1"/>
  <c r="W26" i="1" s="1"/>
  <c r="V25" i="1"/>
  <c r="W25" i="1"/>
  <c r="U26" i="1"/>
  <c r="U27" i="1"/>
  <c r="V27" i="1" s="1"/>
  <c r="U28" i="1"/>
  <c r="W29" i="1" s="1"/>
  <c r="W28" i="1"/>
  <c r="U29" i="1"/>
  <c r="V29" i="1"/>
  <c r="U30" i="1"/>
  <c r="V30" i="1"/>
  <c r="W30" i="1"/>
  <c r="U31" i="1"/>
  <c r="W32" i="1" s="1"/>
  <c r="W31" i="1"/>
  <c r="U32" i="1"/>
  <c r="V32" i="1"/>
  <c r="U33" i="1"/>
  <c r="W34" i="1" s="1"/>
  <c r="V33" i="1"/>
  <c r="W33" i="1"/>
  <c r="U34" i="1"/>
  <c r="U35" i="1"/>
  <c r="V35" i="1" s="1"/>
  <c r="U36" i="1"/>
  <c r="W37" i="1" s="1"/>
  <c r="V36" i="1"/>
  <c r="W36" i="1"/>
  <c r="U37" i="1"/>
  <c r="V37" i="1" s="1"/>
  <c r="U38" i="1"/>
  <c r="V38" i="1"/>
  <c r="W38" i="1"/>
  <c r="U39" i="1"/>
  <c r="W40" i="1" s="1"/>
  <c r="V39" i="1"/>
  <c r="W39" i="1"/>
  <c r="U40" i="1"/>
  <c r="V40" i="1"/>
  <c r="U41" i="1"/>
  <c r="W42" i="1" s="1"/>
  <c r="W41" i="1"/>
  <c r="U42" i="1"/>
  <c r="V42" i="1" s="1"/>
  <c r="U43" i="1"/>
  <c r="V43" i="1" s="1"/>
  <c r="W43" i="1"/>
  <c r="U44" i="1"/>
  <c r="W45" i="1" s="1"/>
  <c r="V44" i="1"/>
  <c r="W44" i="1"/>
  <c r="U45" i="1"/>
  <c r="V45" i="1" s="1"/>
  <c r="U46" i="1"/>
  <c r="V46" i="1"/>
  <c r="W46" i="1"/>
  <c r="U47" i="1"/>
  <c r="W48" i="1" s="1"/>
  <c r="V47" i="1"/>
  <c r="W47" i="1"/>
  <c r="U48" i="1"/>
  <c r="V48" i="1"/>
  <c r="U49" i="1"/>
  <c r="W50" i="1" s="1"/>
  <c r="W49" i="1"/>
  <c r="U50" i="1"/>
  <c r="V50" i="1" s="1"/>
  <c r="U51" i="1"/>
  <c r="V51" i="1" s="1"/>
  <c r="W51" i="1"/>
  <c r="U52" i="1"/>
  <c r="W53" i="1" s="1"/>
  <c r="W52" i="1"/>
  <c r="U53" i="1"/>
  <c r="V53" i="1" s="1"/>
  <c r="U54" i="1"/>
  <c r="V54" i="1"/>
  <c r="W54" i="1"/>
  <c r="U55" i="1"/>
  <c r="W56" i="1" s="1"/>
  <c r="V55" i="1"/>
  <c r="W55" i="1"/>
  <c r="U56" i="1"/>
  <c r="V56" i="1"/>
  <c r="U57" i="1"/>
  <c r="W58" i="1" s="1"/>
  <c r="V57" i="1"/>
  <c r="W57" i="1"/>
  <c r="U58" i="1"/>
  <c r="V58" i="1" s="1"/>
  <c r="U59" i="1"/>
  <c r="V59" i="1" s="1"/>
  <c r="U60" i="1"/>
  <c r="W61" i="1" s="1"/>
  <c r="W60" i="1"/>
  <c r="U61" i="1"/>
  <c r="V61" i="1" s="1"/>
  <c r="U62" i="1"/>
  <c r="V62" i="1"/>
  <c r="W62" i="1"/>
  <c r="U63" i="1"/>
  <c r="W64" i="1" s="1"/>
  <c r="V63" i="1"/>
  <c r="W63" i="1"/>
  <c r="U64" i="1"/>
  <c r="V64" i="1"/>
  <c r="U65" i="1"/>
  <c r="W66" i="1" s="1"/>
  <c r="V65" i="1"/>
  <c r="W65" i="1"/>
  <c r="U66" i="1"/>
  <c r="V66" i="1" s="1"/>
  <c r="U67" i="1"/>
  <c r="V67" i="1" s="1"/>
  <c r="U68" i="1"/>
  <c r="W69" i="1" s="1"/>
  <c r="V68" i="1"/>
  <c r="W68" i="1"/>
  <c r="U69" i="1"/>
  <c r="V69" i="1" s="1"/>
  <c r="U70" i="1"/>
  <c r="V70" i="1"/>
  <c r="W70" i="1"/>
  <c r="U71" i="1"/>
  <c r="W72" i="1" s="1"/>
  <c r="V71" i="1"/>
  <c r="W71" i="1"/>
  <c r="U72" i="1"/>
  <c r="V72" i="1"/>
  <c r="U73" i="1"/>
  <c r="W74" i="1" s="1"/>
  <c r="W73" i="1"/>
  <c r="U74" i="1"/>
  <c r="V74" i="1" s="1"/>
  <c r="U75" i="1"/>
  <c r="V75" i="1" s="1"/>
  <c r="W75" i="1"/>
  <c r="U76" i="1"/>
  <c r="W77" i="1" s="1"/>
  <c r="V76" i="1"/>
  <c r="W76" i="1"/>
  <c r="U77" i="1"/>
  <c r="V77" i="1" s="1"/>
  <c r="U78" i="1"/>
  <c r="V78" i="1"/>
  <c r="W78" i="1"/>
  <c r="U79" i="1"/>
  <c r="W80" i="1" s="1"/>
  <c r="V79" i="1"/>
  <c r="W79" i="1"/>
  <c r="U80" i="1"/>
  <c r="V80" i="1"/>
  <c r="U81" i="1"/>
  <c r="W82" i="1" s="1"/>
  <c r="W81" i="1"/>
  <c r="U82" i="1"/>
  <c r="V82" i="1" s="1"/>
  <c r="U83" i="1"/>
  <c r="V83" i="1" s="1"/>
  <c r="W83" i="1"/>
  <c r="U84" i="1"/>
  <c r="W85" i="1" s="1"/>
  <c r="W84" i="1"/>
  <c r="U85" i="1"/>
  <c r="V85" i="1" s="1"/>
  <c r="U86" i="1"/>
  <c r="V86" i="1"/>
  <c r="W86" i="1"/>
  <c r="U87" i="1"/>
  <c r="W88" i="1" s="1"/>
  <c r="V87" i="1"/>
  <c r="W87" i="1"/>
  <c r="U88" i="1"/>
  <c r="V88" i="1"/>
  <c r="U89" i="1"/>
  <c r="W90" i="1" s="1"/>
  <c r="V89" i="1"/>
  <c r="W89" i="1"/>
  <c r="U90" i="1"/>
  <c r="V90" i="1" s="1"/>
  <c r="U91" i="1"/>
  <c r="V91" i="1" s="1"/>
  <c r="U92" i="1"/>
  <c r="W93" i="1" s="1"/>
  <c r="W92" i="1"/>
  <c r="U93" i="1"/>
  <c r="V93" i="1" s="1"/>
  <c r="U94" i="1"/>
  <c r="V94" i="1"/>
  <c r="W94" i="1"/>
  <c r="U95" i="1"/>
  <c r="W96" i="1" s="1"/>
  <c r="V95" i="1"/>
  <c r="W95" i="1"/>
  <c r="U96" i="1"/>
  <c r="V96" i="1"/>
  <c r="U97" i="1"/>
  <c r="W98" i="1" s="1"/>
  <c r="V97" i="1"/>
  <c r="W97" i="1"/>
  <c r="U98" i="1"/>
  <c r="V98" i="1" s="1"/>
  <c r="U99" i="1"/>
  <c r="V99" i="1" s="1"/>
  <c r="U100" i="1"/>
  <c r="W101" i="1" s="1"/>
  <c r="V100" i="1"/>
  <c r="W100" i="1"/>
  <c r="U101" i="1"/>
  <c r="V101" i="1" s="1"/>
  <c r="U102" i="1"/>
  <c r="V102" i="1"/>
  <c r="W102" i="1"/>
  <c r="U103" i="1"/>
  <c r="W104" i="1" s="1"/>
  <c r="V103" i="1"/>
  <c r="W103" i="1"/>
  <c r="U104" i="1"/>
  <c r="V104" i="1"/>
  <c r="U105" i="1"/>
  <c r="W106" i="1" s="1"/>
  <c r="W105" i="1"/>
  <c r="U106" i="1"/>
  <c r="V106" i="1" s="1"/>
  <c r="U107" i="1"/>
  <c r="V107" i="1" s="1"/>
  <c r="W107" i="1"/>
  <c r="U108" i="1"/>
  <c r="W109" i="1" s="1"/>
  <c r="V108" i="1"/>
  <c r="W108" i="1"/>
  <c r="U109" i="1"/>
  <c r="V109" i="1" s="1"/>
  <c r="U110" i="1"/>
  <c r="V110" i="1"/>
  <c r="W110" i="1"/>
  <c r="U111" i="1"/>
  <c r="W112" i="1" s="1"/>
  <c r="V111" i="1"/>
  <c r="W111" i="1"/>
  <c r="U112" i="1"/>
  <c r="V112" i="1"/>
  <c r="U113" i="1"/>
  <c r="W114" i="1" s="1"/>
  <c r="W113" i="1"/>
  <c r="U114" i="1"/>
  <c r="V114" i="1" s="1"/>
  <c r="U115" i="1"/>
  <c r="V115" i="1" s="1"/>
  <c r="W115" i="1"/>
  <c r="U116" i="1"/>
  <c r="W117" i="1" s="1"/>
  <c r="W116" i="1"/>
  <c r="U117" i="1"/>
  <c r="V117" i="1" s="1"/>
  <c r="U118" i="1"/>
  <c r="V118" i="1"/>
  <c r="W118" i="1"/>
  <c r="U119" i="1"/>
  <c r="W120" i="1" s="1"/>
  <c r="V119" i="1"/>
  <c r="W119" i="1"/>
  <c r="U120" i="1"/>
  <c r="V120" i="1"/>
  <c r="U121" i="1"/>
  <c r="W122" i="1" s="1"/>
  <c r="V121" i="1"/>
  <c r="W121" i="1"/>
  <c r="U122" i="1"/>
  <c r="V122" i="1" s="1"/>
  <c r="U123" i="1"/>
  <c r="V123" i="1" s="1"/>
  <c r="U124" i="1"/>
  <c r="W125" i="1" s="1"/>
  <c r="W124" i="1"/>
  <c r="U125" i="1"/>
  <c r="V125" i="1" s="1"/>
  <c r="U126" i="1"/>
  <c r="V126" i="1"/>
  <c r="W126" i="1"/>
  <c r="U127" i="1"/>
  <c r="W128" i="1" s="1"/>
  <c r="V127" i="1"/>
  <c r="W127" i="1"/>
  <c r="U128" i="1"/>
  <c r="V128" i="1"/>
  <c r="U129" i="1"/>
  <c r="W130" i="1" s="1"/>
  <c r="V129" i="1"/>
  <c r="W129" i="1"/>
  <c r="U130" i="1"/>
  <c r="V130" i="1" s="1"/>
  <c r="U131" i="1"/>
  <c r="V131" i="1" s="1"/>
  <c r="U132" i="1"/>
  <c r="W133" i="1" s="1"/>
  <c r="V132" i="1"/>
  <c r="W132" i="1"/>
  <c r="U133" i="1"/>
  <c r="V133" i="1" s="1"/>
  <c r="U134" i="1"/>
  <c r="V134" i="1"/>
  <c r="W134" i="1"/>
  <c r="U135" i="1"/>
  <c r="W136" i="1" s="1"/>
  <c r="V135" i="1"/>
  <c r="W135" i="1"/>
  <c r="U136" i="1"/>
  <c r="V136" i="1"/>
  <c r="U137" i="1"/>
  <c r="W138" i="1" s="1"/>
  <c r="W137" i="1"/>
  <c r="U138" i="1"/>
  <c r="V138" i="1" s="1"/>
  <c r="U139" i="1"/>
  <c r="V139" i="1" s="1"/>
  <c r="W139" i="1"/>
  <c r="U140" i="1"/>
  <c r="W141" i="1" s="1"/>
  <c r="V140" i="1"/>
  <c r="W140" i="1"/>
  <c r="U141" i="1"/>
  <c r="V141" i="1" s="1"/>
  <c r="U142" i="1"/>
  <c r="V142" i="1"/>
  <c r="W142" i="1"/>
  <c r="U143" i="1"/>
  <c r="W144" i="1" s="1"/>
  <c r="V143" i="1"/>
  <c r="W143" i="1"/>
  <c r="U144" i="1"/>
  <c r="V144" i="1"/>
  <c r="U145" i="1"/>
  <c r="W146" i="1" s="1"/>
  <c r="V145" i="1"/>
  <c r="W145" i="1"/>
  <c r="U146" i="1"/>
  <c r="V146" i="1" s="1"/>
  <c r="U147" i="1"/>
  <c r="V147" i="1" s="1"/>
  <c r="W147" i="1"/>
  <c r="U148" i="1"/>
  <c r="V148" i="1"/>
  <c r="U149" i="1"/>
  <c r="V149" i="1" s="1"/>
  <c r="W149" i="1"/>
  <c r="U150" i="1"/>
  <c r="V150" i="1"/>
  <c r="W150" i="1"/>
  <c r="U151" i="1"/>
  <c r="W152" i="1" s="1"/>
  <c r="V151" i="1"/>
  <c r="W151" i="1"/>
  <c r="U152" i="1"/>
  <c r="V152" i="1"/>
  <c r="U153" i="1"/>
  <c r="W154" i="1" s="1"/>
  <c r="V153" i="1"/>
  <c r="W153" i="1"/>
  <c r="U154" i="1"/>
  <c r="V154" i="1" s="1"/>
  <c r="U155" i="1"/>
  <c r="V155" i="1" s="1"/>
  <c r="U156" i="1"/>
  <c r="V156" i="1"/>
  <c r="W156" i="1"/>
  <c r="U157" i="1"/>
  <c r="V157" i="1" s="1"/>
  <c r="W157" i="1"/>
  <c r="U158" i="1"/>
  <c r="V158" i="1"/>
  <c r="W158" i="1"/>
  <c r="U159" i="1"/>
  <c r="W160" i="1" s="1"/>
  <c r="V159" i="1"/>
  <c r="W159" i="1"/>
  <c r="U160" i="1"/>
  <c r="V160" i="1"/>
  <c r="U161" i="1"/>
  <c r="W162" i="1" s="1"/>
  <c r="V161" i="1"/>
  <c r="W161" i="1"/>
  <c r="U162" i="1"/>
  <c r="V162" i="1" s="1"/>
  <c r="U163" i="1"/>
  <c r="V163" i="1" s="1"/>
  <c r="W163" i="1"/>
  <c r="U164" i="1"/>
  <c r="W165" i="1" s="1"/>
  <c r="V164" i="1"/>
  <c r="U165" i="1"/>
  <c r="V165" i="1" s="1"/>
  <c r="U166" i="1"/>
  <c r="V166" i="1"/>
  <c r="W166" i="1"/>
  <c r="U167" i="1"/>
  <c r="W168" i="1" s="1"/>
  <c r="V167" i="1"/>
  <c r="W167" i="1"/>
  <c r="U168" i="1"/>
  <c r="V168" i="1"/>
  <c r="U169" i="1"/>
  <c r="W170" i="1" s="1"/>
  <c r="V169" i="1"/>
  <c r="W169" i="1"/>
  <c r="U170" i="1"/>
  <c r="V170" i="1" s="1"/>
  <c r="U171" i="1"/>
  <c r="V171" i="1" s="1"/>
  <c r="U172" i="1"/>
  <c r="V172" i="1" s="1"/>
  <c r="U173" i="1"/>
  <c r="V173" i="1" s="1"/>
  <c r="W173" i="1"/>
  <c r="U174" i="1"/>
  <c r="V174" i="1"/>
  <c r="W174" i="1"/>
  <c r="U175" i="1"/>
  <c r="W176" i="1" s="1"/>
  <c r="W175" i="1"/>
  <c r="U176" i="1"/>
  <c r="V176" i="1"/>
  <c r="U177" i="1"/>
  <c r="W178" i="1" s="1"/>
  <c r="V177" i="1"/>
  <c r="W177" i="1"/>
  <c r="U178" i="1"/>
  <c r="V178" i="1" s="1"/>
  <c r="U179" i="1"/>
  <c r="V179" i="1" s="1"/>
  <c r="W179" i="1"/>
  <c r="U180" i="1"/>
  <c r="W181" i="1" s="1"/>
  <c r="V180" i="1"/>
  <c r="W180" i="1"/>
  <c r="U181" i="1"/>
  <c r="V181" i="1" s="1"/>
  <c r="U182" i="1"/>
  <c r="V182" i="1"/>
  <c r="W182" i="1"/>
  <c r="U183" i="1"/>
  <c r="W184" i="1" s="1"/>
  <c r="V183" i="1"/>
  <c r="W183" i="1"/>
  <c r="U184" i="1"/>
  <c r="V184" i="1"/>
  <c r="U185" i="1"/>
  <c r="W186" i="1" s="1"/>
  <c r="W185" i="1"/>
  <c r="U186" i="1"/>
  <c r="V186" i="1" s="1"/>
  <c r="U187" i="1"/>
  <c r="V187" i="1" s="1"/>
  <c r="W187" i="1"/>
  <c r="U188" i="1"/>
  <c r="V188" i="1" s="1"/>
  <c r="U189" i="1"/>
  <c r="V189" i="1" s="1"/>
  <c r="U190" i="1"/>
  <c r="V190" i="1"/>
  <c r="W190" i="1"/>
  <c r="U191" i="1"/>
  <c r="W192" i="1" s="1"/>
  <c r="W191" i="1"/>
  <c r="U192" i="1"/>
  <c r="V192" i="1"/>
  <c r="U193" i="1"/>
  <c r="W194" i="1" s="1"/>
  <c r="V193" i="1"/>
  <c r="W193" i="1"/>
  <c r="U194" i="1"/>
  <c r="V194" i="1" s="1"/>
  <c r="U195" i="1"/>
  <c r="V195" i="1" s="1"/>
  <c r="U196" i="1"/>
  <c r="V196" i="1"/>
  <c r="W196" i="1"/>
  <c r="U197" i="1"/>
  <c r="V197" i="1" s="1"/>
  <c r="W197" i="1"/>
  <c r="U198" i="1"/>
  <c r="V198" i="1"/>
  <c r="W198" i="1"/>
  <c r="U199" i="1"/>
  <c r="W200" i="1" s="1"/>
  <c r="V199" i="1"/>
  <c r="W199" i="1"/>
  <c r="U200" i="1"/>
  <c r="V200" i="1"/>
  <c r="U201" i="1"/>
  <c r="W202" i="1" s="1"/>
  <c r="W201" i="1"/>
  <c r="U202" i="1"/>
  <c r="V202" i="1" s="1"/>
  <c r="U203" i="1"/>
  <c r="V203" i="1" s="1"/>
  <c r="W203" i="1"/>
  <c r="U204" i="1"/>
  <c r="W205" i="1" s="1"/>
  <c r="V204" i="1"/>
  <c r="W204" i="1"/>
  <c r="U205" i="1"/>
  <c r="V205" i="1" s="1"/>
  <c r="U206" i="1"/>
  <c r="V206" i="1"/>
  <c r="W206" i="1"/>
  <c r="U207" i="1"/>
  <c r="W208" i="1" s="1"/>
  <c r="V207" i="1"/>
  <c r="W207" i="1"/>
  <c r="U208" i="1"/>
  <c r="V208" i="1"/>
  <c r="U209" i="1"/>
  <c r="W210" i="1" s="1"/>
  <c r="V209" i="1"/>
  <c r="W209" i="1"/>
  <c r="U210" i="1"/>
  <c r="V210" i="1" s="1"/>
  <c r="U211" i="1"/>
  <c r="V211" i="1" s="1"/>
  <c r="W211" i="1"/>
  <c r="U212" i="1"/>
  <c r="V212" i="1"/>
  <c r="U213" i="1"/>
  <c r="V213" i="1" s="1"/>
  <c r="W213" i="1"/>
  <c r="U214" i="1"/>
  <c r="V214" i="1"/>
  <c r="W214" i="1"/>
  <c r="U215" i="1"/>
  <c r="W216" i="1" s="1"/>
  <c r="V215" i="1"/>
  <c r="W215" i="1"/>
  <c r="U216" i="1"/>
  <c r="V216" i="1"/>
  <c r="U217" i="1"/>
  <c r="W218" i="1" s="1"/>
  <c r="V217" i="1"/>
  <c r="W217" i="1"/>
  <c r="U218" i="1"/>
  <c r="V218" i="1" s="1"/>
  <c r="U219" i="1"/>
  <c r="V219" i="1" s="1"/>
  <c r="U220" i="1"/>
  <c r="V220" i="1"/>
  <c r="W220" i="1"/>
  <c r="U221" i="1"/>
  <c r="V221" i="1" s="1"/>
  <c r="W221" i="1"/>
  <c r="U222" i="1"/>
  <c r="V222" i="1"/>
  <c r="W222" i="1"/>
  <c r="U223" i="1"/>
  <c r="W224" i="1" s="1"/>
  <c r="V223" i="1"/>
  <c r="W223" i="1"/>
  <c r="U224" i="1"/>
  <c r="V224" i="1"/>
  <c r="U225" i="1"/>
  <c r="W226" i="1" s="1"/>
  <c r="V225" i="1"/>
  <c r="W225" i="1"/>
  <c r="U226" i="1"/>
  <c r="V226" i="1" s="1"/>
  <c r="U227" i="1"/>
  <c r="V227" i="1" s="1"/>
  <c r="W227" i="1"/>
  <c r="U228" i="1"/>
  <c r="W229" i="1" s="1"/>
  <c r="V228" i="1"/>
  <c r="U229" i="1"/>
  <c r="V229" i="1" s="1"/>
  <c r="U230" i="1"/>
  <c r="V230" i="1"/>
  <c r="W230" i="1"/>
  <c r="U231" i="1"/>
  <c r="W232" i="1" s="1"/>
  <c r="V231" i="1"/>
  <c r="W231" i="1"/>
  <c r="U232" i="1"/>
  <c r="V232" i="1"/>
  <c r="U233" i="1"/>
  <c r="W234" i="1" s="1"/>
  <c r="V233" i="1"/>
  <c r="W233" i="1"/>
  <c r="U234" i="1"/>
  <c r="V234" i="1" s="1"/>
  <c r="U235" i="1"/>
  <c r="V235" i="1" s="1"/>
  <c r="U236" i="1"/>
  <c r="V236" i="1" s="1"/>
  <c r="U237" i="1"/>
  <c r="V237" i="1" s="1"/>
  <c r="W237" i="1"/>
  <c r="U238" i="1"/>
  <c r="V238" i="1"/>
  <c r="W238" i="1"/>
  <c r="U239" i="1"/>
  <c r="W240" i="1" s="1"/>
  <c r="W239" i="1"/>
  <c r="U240" i="1"/>
  <c r="V240" i="1"/>
  <c r="U241" i="1"/>
  <c r="W242" i="1" s="1"/>
  <c r="V241" i="1"/>
  <c r="W241" i="1"/>
  <c r="U242" i="1"/>
  <c r="V242" i="1" s="1"/>
  <c r="U243" i="1"/>
  <c r="V243" i="1" s="1"/>
  <c r="W243" i="1"/>
  <c r="U244" i="1"/>
  <c r="W245" i="1" s="1"/>
  <c r="V244" i="1"/>
  <c r="W244" i="1"/>
  <c r="U245" i="1"/>
  <c r="V245" i="1" s="1"/>
  <c r="U246" i="1"/>
  <c r="V246" i="1"/>
  <c r="W246" i="1"/>
  <c r="U247" i="1"/>
  <c r="W248" i="1" s="1"/>
  <c r="V247" i="1"/>
  <c r="W247" i="1"/>
  <c r="U248" i="1"/>
  <c r="V248" i="1"/>
  <c r="U249" i="1"/>
  <c r="W250" i="1" s="1"/>
  <c r="W249" i="1"/>
  <c r="U250" i="1"/>
  <c r="V250" i="1" s="1"/>
  <c r="U251" i="1"/>
  <c r="V251" i="1" s="1"/>
  <c r="W251" i="1"/>
  <c r="U252" i="1"/>
  <c r="V252" i="1" s="1"/>
  <c r="U253" i="1"/>
  <c r="V253" i="1" s="1"/>
  <c r="U254" i="1"/>
  <c r="V254" i="1"/>
  <c r="W254" i="1"/>
  <c r="U255" i="1"/>
  <c r="W256" i="1" s="1"/>
  <c r="W255" i="1"/>
  <c r="U256" i="1"/>
  <c r="V256" i="1"/>
  <c r="U257" i="1"/>
  <c r="W258" i="1" s="1"/>
  <c r="V257" i="1"/>
  <c r="W257" i="1"/>
  <c r="U258" i="1"/>
  <c r="V258" i="1" s="1"/>
  <c r="U259" i="1"/>
  <c r="V259" i="1" s="1"/>
  <c r="U260" i="1"/>
  <c r="V260" i="1"/>
  <c r="W260" i="1"/>
  <c r="U261" i="1"/>
  <c r="V261" i="1" s="1"/>
  <c r="W261" i="1"/>
  <c r="U262" i="1"/>
  <c r="V262" i="1"/>
  <c r="W262" i="1"/>
  <c r="U263" i="1"/>
  <c r="W264" i="1" s="1"/>
  <c r="V263" i="1"/>
  <c r="W263" i="1"/>
  <c r="U264" i="1"/>
  <c r="V264" i="1"/>
  <c r="U265" i="1"/>
  <c r="W266" i="1" s="1"/>
  <c r="W265" i="1"/>
  <c r="U266" i="1"/>
  <c r="V266" i="1" s="1"/>
  <c r="U267" i="1"/>
  <c r="V267" i="1" s="1"/>
  <c r="W267" i="1"/>
  <c r="U268" i="1"/>
  <c r="W269" i="1" s="1"/>
  <c r="V268" i="1"/>
  <c r="W268" i="1"/>
  <c r="U269" i="1"/>
  <c r="V269" i="1" s="1"/>
  <c r="U270" i="1"/>
  <c r="V270" i="1"/>
  <c r="W270" i="1"/>
  <c r="U271" i="1"/>
  <c r="W272" i="1" s="1"/>
  <c r="V271" i="1"/>
  <c r="W271" i="1"/>
  <c r="U272" i="1"/>
  <c r="V272" i="1"/>
  <c r="U273" i="1"/>
  <c r="W274" i="1" s="1"/>
  <c r="V273" i="1"/>
  <c r="W273" i="1"/>
  <c r="U274" i="1"/>
  <c r="V274" i="1" s="1"/>
  <c r="U275" i="1"/>
  <c r="V275" i="1" s="1"/>
  <c r="W275" i="1"/>
  <c r="U276" i="1"/>
  <c r="V276" i="1"/>
  <c r="U277" i="1"/>
  <c r="V277" i="1" s="1"/>
  <c r="W277" i="1"/>
  <c r="U278" i="1"/>
  <c r="V278" i="1"/>
  <c r="W278" i="1"/>
  <c r="U279" i="1"/>
  <c r="W280" i="1" s="1"/>
  <c r="V279" i="1"/>
  <c r="W279" i="1"/>
  <c r="U280" i="1"/>
  <c r="V280" i="1"/>
  <c r="U281" i="1"/>
  <c r="W282" i="1" s="1"/>
  <c r="V281" i="1"/>
  <c r="W281" i="1"/>
  <c r="U282" i="1"/>
  <c r="V282" i="1" s="1"/>
  <c r="U283" i="1"/>
  <c r="V283" i="1" s="1"/>
  <c r="U284" i="1"/>
  <c r="V284" i="1"/>
  <c r="W284" i="1"/>
  <c r="U285" i="1"/>
  <c r="V285" i="1" s="1"/>
  <c r="W285" i="1"/>
  <c r="U286" i="1"/>
  <c r="V286" i="1"/>
  <c r="W286" i="1"/>
  <c r="U287" i="1"/>
  <c r="W288" i="1" s="1"/>
  <c r="V287" i="1"/>
  <c r="W287" i="1"/>
  <c r="U288" i="1"/>
  <c r="V288" i="1"/>
  <c r="U289" i="1"/>
  <c r="W290" i="1" s="1"/>
  <c r="V289" i="1"/>
  <c r="W289" i="1"/>
  <c r="U290" i="1"/>
  <c r="V290" i="1" s="1"/>
  <c r="U291" i="1"/>
  <c r="V291" i="1" s="1"/>
  <c r="W291" i="1"/>
  <c r="U292" i="1"/>
  <c r="W293" i="1" s="1"/>
  <c r="V292" i="1"/>
  <c r="U293" i="1"/>
  <c r="V293" i="1" s="1"/>
  <c r="U294" i="1"/>
  <c r="V294" i="1"/>
  <c r="W294" i="1"/>
  <c r="U295" i="1"/>
  <c r="W296" i="1" s="1"/>
  <c r="V295" i="1"/>
  <c r="W295" i="1"/>
  <c r="U296" i="1"/>
  <c r="V296" i="1"/>
  <c r="U297" i="1"/>
  <c r="W298" i="1" s="1"/>
  <c r="V297" i="1"/>
  <c r="W297" i="1"/>
  <c r="U298" i="1"/>
  <c r="V298" i="1" s="1"/>
  <c r="U299" i="1"/>
  <c r="V299" i="1" s="1"/>
  <c r="U300" i="1"/>
  <c r="V300" i="1" s="1"/>
  <c r="U301" i="1"/>
  <c r="V301" i="1" s="1"/>
  <c r="W301" i="1"/>
  <c r="U302" i="1"/>
  <c r="V302" i="1"/>
  <c r="W302" i="1"/>
  <c r="U303" i="1"/>
  <c r="W304" i="1" s="1"/>
  <c r="W303" i="1"/>
  <c r="U304" i="1"/>
  <c r="V304" i="1"/>
  <c r="U12" i="1"/>
  <c r="W13" i="1" s="1"/>
  <c r="V12" i="1"/>
  <c r="W12" i="1"/>
  <c r="U11" i="1"/>
  <c r="V11" i="1" s="1"/>
  <c r="U10" i="1"/>
  <c r="W11" i="1" s="1"/>
  <c r="P12" i="1"/>
  <c r="Q12" i="1" s="1"/>
  <c r="P13" i="1"/>
  <c r="Q13" i="1" s="1"/>
  <c r="F14" i="3" s="1"/>
  <c r="P14" i="1"/>
  <c r="R15" i="1" s="1"/>
  <c r="Q14" i="1"/>
  <c r="R14" i="1"/>
  <c r="P15" i="1"/>
  <c r="Q15" i="1" s="1"/>
  <c r="P16" i="1"/>
  <c r="R17" i="1" s="1"/>
  <c r="Q16" i="1"/>
  <c r="P17" i="1"/>
  <c r="P18" i="1"/>
  <c r="Q18" i="1" s="1"/>
  <c r="P19" i="1"/>
  <c r="R20" i="1" s="1"/>
  <c r="R19" i="1"/>
  <c r="P20" i="1"/>
  <c r="Q20" i="1" s="1"/>
  <c r="P21" i="1"/>
  <c r="Q21" i="1"/>
  <c r="R21" i="1"/>
  <c r="P22" i="1"/>
  <c r="R23" i="1" s="1"/>
  <c r="Q22" i="1"/>
  <c r="R22" i="1"/>
  <c r="P23" i="1"/>
  <c r="Q23" i="1"/>
  <c r="P24" i="1"/>
  <c r="R25" i="1" s="1"/>
  <c r="Q24" i="1"/>
  <c r="R24" i="1"/>
  <c r="P25" i="1"/>
  <c r="P26" i="1"/>
  <c r="Q26" i="1" s="1"/>
  <c r="P27" i="1"/>
  <c r="R28" i="1" s="1"/>
  <c r="Q27" i="1"/>
  <c r="R27" i="1"/>
  <c r="P28" i="1"/>
  <c r="Q28" i="1" s="1"/>
  <c r="P29" i="1"/>
  <c r="Q29" i="1"/>
  <c r="R29" i="1"/>
  <c r="P30" i="1"/>
  <c r="R31" i="1" s="1"/>
  <c r="R30" i="1"/>
  <c r="P31" i="1"/>
  <c r="Q31" i="1"/>
  <c r="P32" i="1"/>
  <c r="R33" i="1" s="1"/>
  <c r="Q32" i="1"/>
  <c r="R32" i="1"/>
  <c r="P33" i="1"/>
  <c r="P34" i="1"/>
  <c r="Q34" i="1" s="1"/>
  <c r="P35" i="1"/>
  <c r="R36" i="1" s="1"/>
  <c r="Q35" i="1"/>
  <c r="R35" i="1"/>
  <c r="P36" i="1"/>
  <c r="Q36" i="1" s="1"/>
  <c r="P37" i="1"/>
  <c r="Q37" i="1"/>
  <c r="R37" i="1"/>
  <c r="P38" i="1"/>
  <c r="R39" i="1" s="1"/>
  <c r="Q38" i="1"/>
  <c r="R38" i="1"/>
  <c r="P39" i="1"/>
  <c r="Q39" i="1"/>
  <c r="P40" i="1"/>
  <c r="R41" i="1" s="1"/>
  <c r="Q40" i="1"/>
  <c r="R40" i="1"/>
  <c r="P41" i="1"/>
  <c r="Q41" i="1" s="1"/>
  <c r="P42" i="1"/>
  <c r="Q42" i="1" s="1"/>
  <c r="R42" i="1"/>
  <c r="P43" i="1"/>
  <c r="R44" i="1" s="1"/>
  <c r="Q43" i="1"/>
  <c r="R43" i="1"/>
  <c r="P44" i="1"/>
  <c r="Q44" i="1" s="1"/>
  <c r="P45" i="1"/>
  <c r="Q45" i="1"/>
  <c r="R45" i="1"/>
  <c r="P46" i="1"/>
  <c r="R47" i="1" s="1"/>
  <c r="R46" i="1"/>
  <c r="P47" i="1"/>
  <c r="Q47" i="1"/>
  <c r="P48" i="1"/>
  <c r="R49" i="1" s="1"/>
  <c r="R48" i="1"/>
  <c r="P49" i="1"/>
  <c r="Q49" i="1" s="1"/>
  <c r="P50" i="1"/>
  <c r="Q50" i="1" s="1"/>
  <c r="P51" i="1"/>
  <c r="R52" i="1" s="1"/>
  <c r="Q51" i="1"/>
  <c r="R51" i="1"/>
  <c r="P52" i="1"/>
  <c r="Q52" i="1" s="1"/>
  <c r="P53" i="1"/>
  <c r="Q53" i="1"/>
  <c r="R53" i="1"/>
  <c r="P54" i="1"/>
  <c r="R55" i="1" s="1"/>
  <c r="Q54" i="1"/>
  <c r="R54" i="1"/>
  <c r="P55" i="1"/>
  <c r="Q55" i="1"/>
  <c r="P56" i="1"/>
  <c r="R57" i="1" s="1"/>
  <c r="Q56" i="1"/>
  <c r="R56" i="1"/>
  <c r="P57" i="1"/>
  <c r="Q57" i="1" s="1"/>
  <c r="P58" i="1"/>
  <c r="Q58" i="1" s="1"/>
  <c r="R58" i="1"/>
  <c r="P59" i="1"/>
  <c r="R60" i="1" s="1"/>
  <c r="R59" i="1"/>
  <c r="P60" i="1"/>
  <c r="Q60" i="1" s="1"/>
  <c r="P61" i="1"/>
  <c r="Q61" i="1"/>
  <c r="R61" i="1"/>
  <c r="P62" i="1"/>
  <c r="R63" i="1" s="1"/>
  <c r="Q62" i="1"/>
  <c r="R62" i="1"/>
  <c r="P63" i="1"/>
  <c r="Q63" i="1"/>
  <c r="P64" i="1"/>
  <c r="R65" i="1" s="1"/>
  <c r="Q64" i="1"/>
  <c r="R64" i="1"/>
  <c r="P65" i="1"/>
  <c r="Q65" i="1" s="1"/>
  <c r="P66" i="1"/>
  <c r="Q66" i="1" s="1"/>
  <c r="P67" i="1"/>
  <c r="R68" i="1" s="1"/>
  <c r="Q67" i="1"/>
  <c r="R67" i="1"/>
  <c r="P68" i="1"/>
  <c r="Q68" i="1" s="1"/>
  <c r="P69" i="1"/>
  <c r="Q69" i="1"/>
  <c r="R69" i="1"/>
  <c r="P70" i="1"/>
  <c r="R71" i="1" s="1"/>
  <c r="Q70" i="1"/>
  <c r="R70" i="1"/>
  <c r="P71" i="1"/>
  <c r="Q71" i="1"/>
  <c r="P72" i="1"/>
  <c r="R73" i="1" s="1"/>
  <c r="Q72" i="1"/>
  <c r="R72" i="1"/>
  <c r="P73" i="1"/>
  <c r="Q73" i="1" s="1"/>
  <c r="P74" i="1"/>
  <c r="Q74" i="1" s="1"/>
  <c r="R74" i="1"/>
  <c r="P75" i="1"/>
  <c r="R76" i="1" s="1"/>
  <c r="Q75" i="1"/>
  <c r="R75" i="1"/>
  <c r="P76" i="1"/>
  <c r="Q76" i="1" s="1"/>
  <c r="P77" i="1"/>
  <c r="Q77" i="1"/>
  <c r="R77" i="1"/>
  <c r="P78" i="1"/>
  <c r="R79" i="1" s="1"/>
  <c r="R78" i="1"/>
  <c r="P79" i="1"/>
  <c r="Q79" i="1"/>
  <c r="P80" i="1"/>
  <c r="R81" i="1" s="1"/>
  <c r="R80" i="1"/>
  <c r="P81" i="1"/>
  <c r="Q81" i="1" s="1"/>
  <c r="P82" i="1"/>
  <c r="Q82" i="1" s="1"/>
  <c r="P83" i="1"/>
  <c r="R84" i="1" s="1"/>
  <c r="Q83" i="1"/>
  <c r="R83" i="1"/>
  <c r="P84" i="1"/>
  <c r="Q84" i="1" s="1"/>
  <c r="P85" i="1"/>
  <c r="Q85" i="1"/>
  <c r="R85" i="1"/>
  <c r="P86" i="1"/>
  <c r="R87" i="1" s="1"/>
  <c r="Q86" i="1"/>
  <c r="R86" i="1"/>
  <c r="P87" i="1"/>
  <c r="Q87" i="1"/>
  <c r="P88" i="1"/>
  <c r="R89" i="1" s="1"/>
  <c r="Q88" i="1"/>
  <c r="R88" i="1"/>
  <c r="P89" i="1"/>
  <c r="Q89" i="1" s="1"/>
  <c r="P90" i="1"/>
  <c r="Q90" i="1" s="1"/>
  <c r="R90" i="1"/>
  <c r="P91" i="1"/>
  <c r="R92" i="1" s="1"/>
  <c r="R91" i="1"/>
  <c r="P92" i="1"/>
  <c r="Q92" i="1" s="1"/>
  <c r="P93" i="1"/>
  <c r="Q93" i="1"/>
  <c r="R93" i="1"/>
  <c r="P94" i="1"/>
  <c r="R95" i="1" s="1"/>
  <c r="Q94" i="1"/>
  <c r="R94" i="1"/>
  <c r="P95" i="1"/>
  <c r="Q95" i="1"/>
  <c r="P96" i="1"/>
  <c r="R97" i="1" s="1"/>
  <c r="Q96" i="1"/>
  <c r="R96" i="1"/>
  <c r="P97" i="1"/>
  <c r="Q97" i="1" s="1"/>
  <c r="P98" i="1"/>
  <c r="Q98" i="1" s="1"/>
  <c r="P99" i="1"/>
  <c r="R100" i="1" s="1"/>
  <c r="Q99" i="1"/>
  <c r="R99" i="1"/>
  <c r="P100" i="1"/>
  <c r="Q100" i="1" s="1"/>
  <c r="P101" i="1"/>
  <c r="Q101" i="1"/>
  <c r="R101" i="1"/>
  <c r="P102" i="1"/>
  <c r="R103" i="1" s="1"/>
  <c r="Q102" i="1"/>
  <c r="R102" i="1"/>
  <c r="P103" i="1"/>
  <c r="Q103" i="1"/>
  <c r="P104" i="1"/>
  <c r="R105" i="1" s="1"/>
  <c r="Q104" i="1"/>
  <c r="R104" i="1"/>
  <c r="P105" i="1"/>
  <c r="Q105" i="1" s="1"/>
  <c r="P106" i="1"/>
  <c r="Q106" i="1" s="1"/>
  <c r="R106" i="1"/>
  <c r="P107" i="1"/>
  <c r="R108" i="1" s="1"/>
  <c r="Q107" i="1"/>
  <c r="R107" i="1"/>
  <c r="P108" i="1"/>
  <c r="Q108" i="1" s="1"/>
  <c r="P109" i="1"/>
  <c r="Q109" i="1"/>
  <c r="R109" i="1"/>
  <c r="P110" i="1"/>
  <c r="R111" i="1" s="1"/>
  <c r="R110" i="1"/>
  <c r="P111" i="1"/>
  <c r="Q111" i="1"/>
  <c r="P112" i="1"/>
  <c r="R113" i="1" s="1"/>
  <c r="R112" i="1"/>
  <c r="P113" i="1"/>
  <c r="Q113" i="1" s="1"/>
  <c r="P114" i="1"/>
  <c r="Q114" i="1" s="1"/>
  <c r="P115" i="1"/>
  <c r="R116" i="1" s="1"/>
  <c r="Q115" i="1"/>
  <c r="R115" i="1"/>
  <c r="P116" i="1"/>
  <c r="Q116" i="1" s="1"/>
  <c r="P117" i="1"/>
  <c r="Q117" i="1"/>
  <c r="R117" i="1"/>
  <c r="P118" i="1"/>
  <c r="R119" i="1" s="1"/>
  <c r="Q118" i="1"/>
  <c r="R118" i="1"/>
  <c r="P119" i="1"/>
  <c r="Q119" i="1"/>
  <c r="P120" i="1"/>
  <c r="R121" i="1" s="1"/>
  <c r="Q120" i="1"/>
  <c r="R120" i="1"/>
  <c r="P121" i="1"/>
  <c r="Q121" i="1" s="1"/>
  <c r="P122" i="1"/>
  <c r="Q122" i="1" s="1"/>
  <c r="R122" i="1"/>
  <c r="P123" i="1"/>
  <c r="R124" i="1" s="1"/>
  <c r="R123" i="1"/>
  <c r="P124" i="1"/>
  <c r="Q124" i="1" s="1"/>
  <c r="P125" i="1"/>
  <c r="Q125" i="1"/>
  <c r="R125" i="1"/>
  <c r="P126" i="1"/>
  <c r="R127" i="1" s="1"/>
  <c r="Q126" i="1"/>
  <c r="R126" i="1"/>
  <c r="P127" i="1"/>
  <c r="Q127" i="1"/>
  <c r="P128" i="1"/>
  <c r="R129" i="1" s="1"/>
  <c r="Q128" i="1"/>
  <c r="R128" i="1"/>
  <c r="P129" i="1"/>
  <c r="Q129" i="1" s="1"/>
  <c r="P130" i="1"/>
  <c r="Q130" i="1" s="1"/>
  <c r="P131" i="1"/>
  <c r="R132" i="1" s="1"/>
  <c r="Q131" i="1"/>
  <c r="R131" i="1"/>
  <c r="P132" i="1"/>
  <c r="Q132" i="1" s="1"/>
  <c r="P133" i="1"/>
  <c r="Q133" i="1"/>
  <c r="R133" i="1"/>
  <c r="P134" i="1"/>
  <c r="R135" i="1" s="1"/>
  <c r="Q134" i="1"/>
  <c r="R134" i="1"/>
  <c r="P135" i="1"/>
  <c r="Q135" i="1"/>
  <c r="P136" i="1"/>
  <c r="R137" i="1" s="1"/>
  <c r="Q136" i="1"/>
  <c r="R136" i="1"/>
  <c r="P137" i="1"/>
  <c r="Q137" i="1" s="1"/>
  <c r="P138" i="1"/>
  <c r="Q138" i="1" s="1"/>
  <c r="R138" i="1"/>
  <c r="P139" i="1"/>
  <c r="R140" i="1" s="1"/>
  <c r="Q139" i="1"/>
  <c r="R139" i="1"/>
  <c r="P140" i="1"/>
  <c r="Q140" i="1" s="1"/>
  <c r="P141" i="1"/>
  <c r="Q141" i="1"/>
  <c r="R141" i="1"/>
  <c r="P142" i="1"/>
  <c r="R143" i="1" s="1"/>
  <c r="R142" i="1"/>
  <c r="P143" i="1"/>
  <c r="Q143" i="1"/>
  <c r="P144" i="1"/>
  <c r="R145" i="1" s="1"/>
  <c r="R144" i="1"/>
  <c r="P145" i="1"/>
  <c r="Q145" i="1" s="1"/>
  <c r="P146" i="1"/>
  <c r="Q146" i="1" s="1"/>
  <c r="P147" i="1"/>
  <c r="R148" i="1" s="1"/>
  <c r="Q147" i="1"/>
  <c r="R147" i="1"/>
  <c r="P148" i="1"/>
  <c r="Q148" i="1" s="1"/>
  <c r="P149" i="1"/>
  <c r="Q149" i="1"/>
  <c r="R149" i="1"/>
  <c r="P150" i="1"/>
  <c r="R151" i="1" s="1"/>
  <c r="Q150" i="1"/>
  <c r="R150" i="1"/>
  <c r="P151" i="1"/>
  <c r="Q151" i="1"/>
  <c r="P152" i="1"/>
  <c r="R153" i="1" s="1"/>
  <c r="Q152" i="1"/>
  <c r="R152" i="1"/>
  <c r="P153" i="1"/>
  <c r="Q153" i="1" s="1"/>
  <c r="P154" i="1"/>
  <c r="Q154" i="1" s="1"/>
  <c r="R154" i="1"/>
  <c r="P155" i="1"/>
  <c r="R156" i="1" s="1"/>
  <c r="R155" i="1"/>
  <c r="P156" i="1"/>
  <c r="Q156" i="1" s="1"/>
  <c r="P157" i="1"/>
  <c r="Q157" i="1"/>
  <c r="R157" i="1"/>
  <c r="P158" i="1"/>
  <c r="R159" i="1" s="1"/>
  <c r="Q158" i="1"/>
  <c r="R158" i="1"/>
  <c r="P159" i="1"/>
  <c r="Q159" i="1"/>
  <c r="P160" i="1"/>
  <c r="R161" i="1" s="1"/>
  <c r="Q160" i="1"/>
  <c r="R160" i="1"/>
  <c r="P161" i="1"/>
  <c r="Q161" i="1" s="1"/>
  <c r="P162" i="1"/>
  <c r="Q162" i="1" s="1"/>
  <c r="P163" i="1"/>
  <c r="Q163" i="1"/>
  <c r="P164" i="1"/>
  <c r="Q164" i="1" s="1"/>
  <c r="R164" i="1"/>
  <c r="P165" i="1"/>
  <c r="Q165" i="1"/>
  <c r="R165" i="1"/>
  <c r="P166" i="1"/>
  <c r="R167" i="1" s="1"/>
  <c r="Q166" i="1"/>
  <c r="R166" i="1"/>
  <c r="P167" i="1"/>
  <c r="Q167" i="1"/>
  <c r="P168" i="1"/>
  <c r="R169" i="1" s="1"/>
  <c r="Q168" i="1"/>
  <c r="R168" i="1"/>
  <c r="P169" i="1"/>
  <c r="Q169" i="1" s="1"/>
  <c r="P170" i="1"/>
  <c r="Q170" i="1" s="1"/>
  <c r="P171" i="1"/>
  <c r="R172" i="1" s="1"/>
  <c r="Q171" i="1"/>
  <c r="P172" i="1"/>
  <c r="Q172" i="1" s="1"/>
  <c r="P173" i="1"/>
  <c r="Q173" i="1"/>
  <c r="R173" i="1"/>
  <c r="P174" i="1"/>
  <c r="R175" i="1" s="1"/>
  <c r="Q174" i="1"/>
  <c r="R174" i="1"/>
  <c r="P175" i="1"/>
  <c r="Q175" i="1"/>
  <c r="P176" i="1"/>
  <c r="R177" i="1" s="1"/>
  <c r="Q176" i="1"/>
  <c r="R176" i="1"/>
  <c r="P177" i="1"/>
  <c r="Q177" i="1" s="1"/>
  <c r="P178" i="1"/>
  <c r="Q178" i="1" s="1"/>
  <c r="R178" i="1"/>
  <c r="P179" i="1"/>
  <c r="Q179" i="1" s="1"/>
  <c r="P180" i="1"/>
  <c r="Q180" i="1" s="1"/>
  <c r="P181" i="1"/>
  <c r="Q181" i="1"/>
  <c r="R181" i="1"/>
  <c r="P182" i="1"/>
  <c r="R183" i="1" s="1"/>
  <c r="R182" i="1"/>
  <c r="P183" i="1"/>
  <c r="Q183" i="1"/>
  <c r="P184" i="1"/>
  <c r="R185" i="1" s="1"/>
  <c r="Q184" i="1"/>
  <c r="R184" i="1"/>
  <c r="P185" i="1"/>
  <c r="Q185" i="1" s="1"/>
  <c r="P186" i="1"/>
  <c r="Q186" i="1" s="1"/>
  <c r="P187" i="1"/>
  <c r="Q187" i="1" s="1"/>
  <c r="R187" i="1"/>
  <c r="P188" i="1"/>
  <c r="Q188" i="1" s="1"/>
  <c r="P189" i="1"/>
  <c r="Q189" i="1"/>
  <c r="R189" i="1"/>
  <c r="P190" i="1"/>
  <c r="R191" i="1" s="1"/>
  <c r="R190" i="1"/>
  <c r="P191" i="1"/>
  <c r="Q191" i="1"/>
  <c r="P192" i="1"/>
  <c r="R193" i="1" s="1"/>
  <c r="R192" i="1"/>
  <c r="P193" i="1"/>
  <c r="Q193" i="1" s="1"/>
  <c r="P194" i="1"/>
  <c r="Q194" i="1" s="1"/>
  <c r="P195" i="1"/>
  <c r="R196" i="1" s="1"/>
  <c r="Q195" i="1"/>
  <c r="R195" i="1"/>
  <c r="P196" i="1"/>
  <c r="Q196" i="1" s="1"/>
  <c r="P197" i="1"/>
  <c r="Q197" i="1"/>
  <c r="R197" i="1"/>
  <c r="P198" i="1"/>
  <c r="R199" i="1" s="1"/>
  <c r="Q198" i="1"/>
  <c r="R198" i="1"/>
  <c r="P199" i="1"/>
  <c r="Q199" i="1"/>
  <c r="P200" i="1"/>
  <c r="R201" i="1" s="1"/>
  <c r="R200" i="1"/>
  <c r="P201" i="1"/>
  <c r="Q201" i="1" s="1"/>
  <c r="P202" i="1"/>
  <c r="Q202" i="1" s="1"/>
  <c r="R202" i="1"/>
  <c r="P203" i="1"/>
  <c r="Q203" i="1"/>
  <c r="R203" i="1"/>
  <c r="P204" i="1"/>
  <c r="Q204" i="1" s="1"/>
  <c r="R204" i="1"/>
  <c r="P205" i="1"/>
  <c r="Q205" i="1"/>
  <c r="R205" i="1"/>
  <c r="P206" i="1"/>
  <c r="R207" i="1" s="1"/>
  <c r="Q206" i="1"/>
  <c r="R206" i="1"/>
  <c r="P207" i="1"/>
  <c r="Q207" i="1"/>
  <c r="P208" i="1"/>
  <c r="R209" i="1" s="1"/>
  <c r="Q208" i="1"/>
  <c r="R208" i="1"/>
  <c r="P209" i="1"/>
  <c r="Q209" i="1" s="1"/>
  <c r="P210" i="1"/>
  <c r="Q210" i="1" s="1"/>
  <c r="R210" i="1"/>
  <c r="P211" i="1"/>
  <c r="Q211" i="1"/>
  <c r="P212" i="1"/>
  <c r="Q212" i="1" s="1"/>
  <c r="R212" i="1"/>
  <c r="P213" i="1"/>
  <c r="Q213" i="1"/>
  <c r="R213" i="1"/>
  <c r="P214" i="1"/>
  <c r="R215" i="1" s="1"/>
  <c r="Q214" i="1"/>
  <c r="R214" i="1"/>
  <c r="P215" i="1"/>
  <c r="Q215" i="1"/>
  <c r="P216" i="1"/>
  <c r="R217" i="1" s="1"/>
  <c r="Q216" i="1"/>
  <c r="R216" i="1"/>
  <c r="P217" i="1"/>
  <c r="Q217" i="1" s="1"/>
  <c r="P218" i="1"/>
  <c r="Q218" i="1" s="1"/>
  <c r="R218" i="1"/>
  <c r="P219" i="1"/>
  <c r="Q219" i="1"/>
  <c r="P220" i="1"/>
  <c r="Q220" i="1" s="1"/>
  <c r="R220" i="1"/>
  <c r="P221" i="1"/>
  <c r="Q221" i="1"/>
  <c r="R221" i="1"/>
  <c r="P222" i="1"/>
  <c r="R223" i="1" s="1"/>
  <c r="Q222" i="1"/>
  <c r="R222" i="1"/>
  <c r="P223" i="1"/>
  <c r="Q223" i="1"/>
  <c r="P224" i="1"/>
  <c r="R225" i="1" s="1"/>
  <c r="Q224" i="1"/>
  <c r="R224" i="1"/>
  <c r="P225" i="1"/>
  <c r="Q225" i="1" s="1"/>
  <c r="P226" i="1"/>
  <c r="Q226" i="1" s="1"/>
  <c r="P227" i="1"/>
  <c r="R228" i="1" s="1"/>
  <c r="Q227" i="1"/>
  <c r="P228" i="1"/>
  <c r="Q228" i="1" s="1"/>
  <c r="P229" i="1"/>
  <c r="Q229" i="1"/>
  <c r="R229" i="1"/>
  <c r="P230" i="1"/>
  <c r="R231" i="1" s="1"/>
  <c r="Q230" i="1"/>
  <c r="R230" i="1"/>
  <c r="P231" i="1"/>
  <c r="Q231" i="1"/>
  <c r="P232" i="1"/>
  <c r="R233" i="1" s="1"/>
  <c r="Q232" i="1"/>
  <c r="R232" i="1"/>
  <c r="P233" i="1"/>
  <c r="Q233" i="1" s="1"/>
  <c r="P234" i="1"/>
  <c r="Q234" i="1" s="1"/>
  <c r="P235" i="1"/>
  <c r="R236" i="1" s="1"/>
  <c r="Q235" i="1"/>
  <c r="P236" i="1"/>
  <c r="Q236" i="1" s="1"/>
  <c r="P237" i="1"/>
  <c r="Q237" i="1"/>
  <c r="R237" i="1"/>
  <c r="P238" i="1"/>
  <c r="R239" i="1" s="1"/>
  <c r="Q238" i="1"/>
  <c r="R238" i="1"/>
  <c r="P239" i="1"/>
  <c r="Q239" i="1"/>
  <c r="P240" i="1"/>
  <c r="R241" i="1" s="1"/>
  <c r="Q240" i="1"/>
  <c r="R240" i="1"/>
  <c r="P241" i="1"/>
  <c r="Q241" i="1" s="1"/>
  <c r="P242" i="1"/>
  <c r="Q242" i="1" s="1"/>
  <c r="R242" i="1"/>
  <c r="P243" i="1"/>
  <c r="Q243" i="1" s="1"/>
  <c r="R243" i="1"/>
  <c r="P244" i="1"/>
  <c r="Q244" i="1" s="1"/>
  <c r="P245" i="1"/>
  <c r="Q245" i="1"/>
  <c r="R245" i="1"/>
  <c r="P246" i="1"/>
  <c r="R247" i="1" s="1"/>
  <c r="R246" i="1"/>
  <c r="P247" i="1"/>
  <c r="Q247" i="1"/>
  <c r="P248" i="1"/>
  <c r="R249" i="1" s="1"/>
  <c r="Q248" i="1"/>
  <c r="R248" i="1"/>
  <c r="P249" i="1"/>
  <c r="Q249" i="1" s="1"/>
  <c r="P250" i="1"/>
  <c r="Q250" i="1" s="1"/>
  <c r="P251" i="1"/>
  <c r="Q251" i="1" s="1"/>
  <c r="R251" i="1"/>
  <c r="P252" i="1"/>
  <c r="Q252" i="1" s="1"/>
  <c r="P253" i="1"/>
  <c r="Q253" i="1"/>
  <c r="R253" i="1"/>
  <c r="P254" i="1"/>
  <c r="R255" i="1" s="1"/>
  <c r="R254" i="1"/>
  <c r="P255" i="1"/>
  <c r="Q255" i="1"/>
  <c r="P256" i="1"/>
  <c r="R257" i="1" s="1"/>
  <c r="R256" i="1"/>
  <c r="P257" i="1"/>
  <c r="Q257" i="1" s="1"/>
  <c r="P258" i="1"/>
  <c r="Q258" i="1" s="1"/>
  <c r="P259" i="1"/>
  <c r="Q259" i="1"/>
  <c r="R259" i="1"/>
  <c r="P260" i="1"/>
  <c r="Q260" i="1"/>
  <c r="R260" i="1"/>
  <c r="P261" i="1"/>
  <c r="Q261" i="1"/>
  <c r="R261" i="1"/>
  <c r="P262" i="1"/>
  <c r="R263" i="1" s="1"/>
  <c r="Q262" i="1"/>
  <c r="R262" i="1"/>
  <c r="P263" i="1"/>
  <c r="Q263" i="1"/>
  <c r="P264" i="1"/>
  <c r="R265" i="1" s="1"/>
  <c r="Q264" i="1"/>
  <c r="R264" i="1"/>
  <c r="P265" i="1"/>
  <c r="Q265" i="1" s="1"/>
  <c r="P266" i="1"/>
  <c r="Q266" i="1" s="1"/>
  <c r="P267" i="1"/>
  <c r="Q267" i="1"/>
  <c r="P268" i="1"/>
  <c r="Q268" i="1"/>
  <c r="R268" i="1"/>
  <c r="P269" i="1"/>
  <c r="Q269" i="1"/>
  <c r="R269" i="1"/>
  <c r="P270" i="1"/>
  <c r="R271" i="1" s="1"/>
  <c r="R270" i="1"/>
  <c r="P271" i="1"/>
  <c r="Q271" i="1"/>
  <c r="P272" i="1"/>
  <c r="R273" i="1" s="1"/>
  <c r="R272" i="1"/>
  <c r="P273" i="1"/>
  <c r="Q273" i="1" s="1"/>
  <c r="P274" i="1"/>
  <c r="Q274" i="1" s="1"/>
  <c r="P275" i="1"/>
  <c r="Q275" i="1"/>
  <c r="R275" i="1"/>
  <c r="P276" i="1"/>
  <c r="Q276" i="1"/>
  <c r="R276" i="1"/>
  <c r="P277" i="1"/>
  <c r="Q277" i="1"/>
  <c r="R277" i="1"/>
  <c r="P278" i="1"/>
  <c r="R279" i="1" s="1"/>
  <c r="Q278" i="1"/>
  <c r="R278" i="1"/>
  <c r="P279" i="1"/>
  <c r="Q279" i="1"/>
  <c r="P280" i="1"/>
  <c r="R281" i="1" s="1"/>
  <c r="Q280" i="1"/>
  <c r="R280" i="1"/>
  <c r="P281" i="1"/>
  <c r="Q281" i="1" s="1"/>
  <c r="P282" i="1"/>
  <c r="Q282" i="1" s="1"/>
  <c r="P283" i="1"/>
  <c r="Q283" i="1"/>
  <c r="P284" i="1"/>
  <c r="Q284" i="1"/>
  <c r="R284" i="1"/>
  <c r="P285" i="1"/>
  <c r="Q285" i="1"/>
  <c r="R285" i="1"/>
  <c r="P286" i="1"/>
  <c r="R287" i="1" s="1"/>
  <c r="R286" i="1"/>
  <c r="P287" i="1"/>
  <c r="Q287" i="1"/>
  <c r="P288" i="1"/>
  <c r="R289" i="1" s="1"/>
  <c r="R288" i="1"/>
  <c r="P289" i="1"/>
  <c r="Q289" i="1" s="1"/>
  <c r="P290" i="1"/>
  <c r="Q290" i="1" s="1"/>
  <c r="P291" i="1"/>
  <c r="Q291" i="1"/>
  <c r="R291" i="1"/>
  <c r="P292" i="1"/>
  <c r="Q292" i="1"/>
  <c r="R292" i="1"/>
  <c r="P293" i="1"/>
  <c r="Q293" i="1"/>
  <c r="R293" i="1"/>
  <c r="P294" i="1"/>
  <c r="R295" i="1" s="1"/>
  <c r="Q294" i="1"/>
  <c r="R294" i="1"/>
  <c r="P295" i="1"/>
  <c r="Q295" i="1"/>
  <c r="P296" i="1"/>
  <c r="R297" i="1" s="1"/>
  <c r="Q296" i="1"/>
  <c r="R296" i="1"/>
  <c r="P297" i="1"/>
  <c r="Q297" i="1" s="1"/>
  <c r="P298" i="1"/>
  <c r="Q298" i="1" s="1"/>
  <c r="P299" i="1"/>
  <c r="Q299" i="1"/>
  <c r="P300" i="1"/>
  <c r="Q300" i="1"/>
  <c r="R300" i="1"/>
  <c r="P301" i="1"/>
  <c r="Q301" i="1"/>
  <c r="R301" i="1"/>
  <c r="P302" i="1"/>
  <c r="R303" i="1" s="1"/>
  <c r="R302" i="1"/>
  <c r="P303" i="1"/>
  <c r="Q303" i="1"/>
  <c r="P304" i="1"/>
  <c r="Q304" i="1" s="1"/>
  <c r="R304" i="1"/>
  <c r="P11" i="1"/>
  <c r="R12" i="1" s="1"/>
  <c r="P10" i="1"/>
  <c r="Q10" i="1" s="1"/>
  <c r="M13" i="1"/>
  <c r="K14" i="1"/>
  <c r="M15" i="1" s="1"/>
  <c r="K15" i="1"/>
  <c r="L15" i="1" s="1"/>
  <c r="K16" i="1"/>
  <c r="M17" i="1" s="1"/>
  <c r="L16" i="1"/>
  <c r="M16" i="1"/>
  <c r="K17" i="1"/>
  <c r="K18" i="1"/>
  <c r="L18" i="1"/>
  <c r="K19" i="1"/>
  <c r="M20" i="1" s="1"/>
  <c r="M19" i="1"/>
  <c r="K20" i="1"/>
  <c r="L20" i="1"/>
  <c r="K21" i="1"/>
  <c r="M22" i="1" s="1"/>
  <c r="L21" i="1"/>
  <c r="M21" i="1"/>
  <c r="K22" i="1"/>
  <c r="M23" i="1" s="1"/>
  <c r="K23" i="1"/>
  <c r="L23" i="1" s="1"/>
  <c r="K24" i="1"/>
  <c r="M25" i="1" s="1"/>
  <c r="L24" i="1"/>
  <c r="M24" i="1"/>
  <c r="K25" i="1"/>
  <c r="K26" i="1"/>
  <c r="L26" i="1"/>
  <c r="K27" i="1"/>
  <c r="M28" i="1" s="1"/>
  <c r="M27" i="1"/>
  <c r="K28" i="1"/>
  <c r="L28" i="1"/>
  <c r="K29" i="1"/>
  <c r="M30" i="1" s="1"/>
  <c r="L29" i="1"/>
  <c r="M29" i="1"/>
  <c r="K30" i="1"/>
  <c r="M31" i="1" s="1"/>
  <c r="K31" i="1"/>
  <c r="L31" i="1" s="1"/>
  <c r="K32" i="1"/>
  <c r="M33" i="1" s="1"/>
  <c r="L32" i="1"/>
  <c r="M32" i="1"/>
  <c r="K33" i="1"/>
  <c r="L33" i="1" s="1"/>
  <c r="K34" i="1"/>
  <c r="L34" i="1"/>
  <c r="M34" i="1"/>
  <c r="K35" i="1"/>
  <c r="M36" i="1" s="1"/>
  <c r="M35" i="1"/>
  <c r="K36" i="1"/>
  <c r="L36" i="1"/>
  <c r="K37" i="1"/>
  <c r="M38" i="1" s="1"/>
  <c r="L37" i="1"/>
  <c r="M37" i="1"/>
  <c r="K38" i="1"/>
  <c r="M39" i="1" s="1"/>
  <c r="K39" i="1"/>
  <c r="L39" i="1" s="1"/>
  <c r="K40" i="1"/>
  <c r="M41" i="1" s="1"/>
  <c r="M40" i="1"/>
  <c r="K41" i="1"/>
  <c r="L41" i="1" s="1"/>
  <c r="K42" i="1"/>
  <c r="L42" i="1"/>
  <c r="K43" i="1"/>
  <c r="M44" i="1" s="1"/>
  <c r="L43" i="1"/>
  <c r="M43" i="1"/>
  <c r="K44" i="1"/>
  <c r="L44" i="1"/>
  <c r="K45" i="1"/>
  <c r="M46" i="1" s="1"/>
  <c r="L45" i="1"/>
  <c r="M45" i="1"/>
  <c r="K46" i="1"/>
  <c r="M47" i="1" s="1"/>
  <c r="L46" i="1"/>
  <c r="K47" i="1"/>
  <c r="L47" i="1" s="1"/>
  <c r="K48" i="1"/>
  <c r="M49" i="1" s="1"/>
  <c r="M48" i="1"/>
  <c r="K49" i="1"/>
  <c r="L49" i="1" s="1"/>
  <c r="K50" i="1"/>
  <c r="L50" i="1"/>
  <c r="M50" i="1"/>
  <c r="K51" i="1"/>
  <c r="M52" i="1" s="1"/>
  <c r="L51" i="1"/>
  <c r="M51" i="1"/>
  <c r="K52" i="1"/>
  <c r="L52" i="1"/>
  <c r="K53" i="1"/>
  <c r="M54" i="1" s="1"/>
  <c r="L53" i="1"/>
  <c r="M53" i="1"/>
  <c r="K54" i="1"/>
  <c r="M55" i="1" s="1"/>
  <c r="L54" i="1"/>
  <c r="K55" i="1"/>
  <c r="L55" i="1" s="1"/>
  <c r="K56" i="1"/>
  <c r="M57" i="1" s="1"/>
  <c r="L56" i="1"/>
  <c r="M56" i="1"/>
  <c r="K57" i="1"/>
  <c r="L57" i="1" s="1"/>
  <c r="K58" i="1"/>
  <c r="L58" i="1"/>
  <c r="K59" i="1"/>
  <c r="M60" i="1" s="1"/>
  <c r="L59" i="1"/>
  <c r="M59" i="1"/>
  <c r="K60" i="1"/>
  <c r="L60" i="1"/>
  <c r="K61" i="1"/>
  <c r="M62" i="1" s="1"/>
  <c r="L61" i="1"/>
  <c r="M61" i="1"/>
  <c r="K62" i="1"/>
  <c r="M63" i="1" s="1"/>
  <c r="L62" i="1"/>
  <c r="K63" i="1"/>
  <c r="L63" i="1" s="1"/>
  <c r="K64" i="1"/>
  <c r="M65" i="1" s="1"/>
  <c r="L64" i="1"/>
  <c r="M64" i="1"/>
  <c r="K65" i="1"/>
  <c r="L65" i="1" s="1"/>
  <c r="K66" i="1"/>
  <c r="L66" i="1"/>
  <c r="M66" i="1"/>
  <c r="K67" i="1"/>
  <c r="M68" i="1" s="1"/>
  <c r="M67" i="1"/>
  <c r="K68" i="1"/>
  <c r="L68" i="1"/>
  <c r="K69" i="1"/>
  <c r="M70" i="1" s="1"/>
  <c r="L69" i="1"/>
  <c r="M69" i="1"/>
  <c r="K70" i="1"/>
  <c r="M71" i="1" s="1"/>
  <c r="K71" i="1"/>
  <c r="L71" i="1" s="1"/>
  <c r="K72" i="1"/>
  <c r="M73" i="1" s="1"/>
  <c r="M72" i="1"/>
  <c r="K73" i="1"/>
  <c r="L73" i="1" s="1"/>
  <c r="K74" i="1"/>
  <c r="L74" i="1"/>
  <c r="K75" i="1"/>
  <c r="M76" i="1" s="1"/>
  <c r="L75" i="1"/>
  <c r="M75" i="1"/>
  <c r="K76" i="1"/>
  <c r="L76" i="1"/>
  <c r="K77" i="1"/>
  <c r="M78" i="1" s="1"/>
  <c r="L77" i="1"/>
  <c r="M77" i="1"/>
  <c r="K78" i="1"/>
  <c r="M79" i="1" s="1"/>
  <c r="L78" i="1"/>
  <c r="K79" i="1"/>
  <c r="L79" i="1" s="1"/>
  <c r="K80" i="1"/>
  <c r="M81" i="1" s="1"/>
  <c r="M80" i="1"/>
  <c r="K81" i="1"/>
  <c r="L81" i="1" s="1"/>
  <c r="K82" i="1"/>
  <c r="L82" i="1"/>
  <c r="M82" i="1"/>
  <c r="K83" i="1"/>
  <c r="M84" i="1" s="1"/>
  <c r="L83" i="1"/>
  <c r="M83" i="1"/>
  <c r="K84" i="1"/>
  <c r="L84" i="1"/>
  <c r="K85" i="1"/>
  <c r="M86" i="1" s="1"/>
  <c r="L85" i="1"/>
  <c r="M85" i="1"/>
  <c r="K86" i="1"/>
  <c r="M87" i="1" s="1"/>
  <c r="L86" i="1"/>
  <c r="K87" i="1"/>
  <c r="L87" i="1" s="1"/>
  <c r="K88" i="1"/>
  <c r="M89" i="1" s="1"/>
  <c r="L88" i="1"/>
  <c r="M88" i="1"/>
  <c r="K89" i="1"/>
  <c r="L89" i="1" s="1"/>
  <c r="K90" i="1"/>
  <c r="L90" i="1"/>
  <c r="K91" i="1"/>
  <c r="M92" i="1" s="1"/>
  <c r="M91" i="1"/>
  <c r="K92" i="1"/>
  <c r="L92" i="1"/>
  <c r="K93" i="1"/>
  <c r="M94" i="1" s="1"/>
  <c r="L93" i="1"/>
  <c r="M93" i="1"/>
  <c r="K94" i="1"/>
  <c r="M95" i="1" s="1"/>
  <c r="K95" i="1"/>
  <c r="L95" i="1" s="1"/>
  <c r="K96" i="1"/>
  <c r="M97" i="1" s="1"/>
  <c r="L96" i="1"/>
  <c r="M96" i="1"/>
  <c r="K97" i="1"/>
  <c r="L97" i="1" s="1"/>
  <c r="K98" i="1"/>
  <c r="L98" i="1"/>
  <c r="M98" i="1"/>
  <c r="K99" i="1"/>
  <c r="M100" i="1" s="1"/>
  <c r="M99" i="1"/>
  <c r="K100" i="1"/>
  <c r="L100" i="1"/>
  <c r="K101" i="1"/>
  <c r="M102" i="1" s="1"/>
  <c r="L101" i="1"/>
  <c r="M101" i="1"/>
  <c r="K102" i="1"/>
  <c r="M103" i="1" s="1"/>
  <c r="K103" i="1"/>
  <c r="L103" i="1" s="1"/>
  <c r="K104" i="1"/>
  <c r="M105" i="1" s="1"/>
  <c r="M104" i="1"/>
  <c r="K105" i="1"/>
  <c r="L105" i="1" s="1"/>
  <c r="K106" i="1"/>
  <c r="L106" i="1"/>
  <c r="K107" i="1"/>
  <c r="M108" i="1" s="1"/>
  <c r="L107" i="1"/>
  <c r="M107" i="1"/>
  <c r="K108" i="1"/>
  <c r="L108" i="1"/>
  <c r="K109" i="1"/>
  <c r="M110" i="1" s="1"/>
  <c r="L109" i="1"/>
  <c r="M109" i="1"/>
  <c r="K110" i="1"/>
  <c r="M111" i="1" s="1"/>
  <c r="L110" i="1"/>
  <c r="K111" i="1"/>
  <c r="L111" i="1" s="1"/>
  <c r="K112" i="1"/>
  <c r="M113" i="1" s="1"/>
  <c r="L112" i="1"/>
  <c r="M112" i="1"/>
  <c r="K113" i="1"/>
  <c r="L113" i="1" s="1"/>
  <c r="K114" i="1"/>
  <c r="L114" i="1"/>
  <c r="M114" i="1"/>
  <c r="K115" i="1"/>
  <c r="M116" i="1" s="1"/>
  <c r="L115" i="1"/>
  <c r="M115" i="1"/>
  <c r="K116" i="1"/>
  <c r="L116" i="1"/>
  <c r="K117" i="1"/>
  <c r="M118" i="1" s="1"/>
  <c r="L117" i="1"/>
  <c r="M117" i="1"/>
  <c r="K118" i="1"/>
  <c r="M119" i="1" s="1"/>
  <c r="L118" i="1"/>
  <c r="K119" i="1"/>
  <c r="L119" i="1" s="1"/>
  <c r="K120" i="1"/>
  <c r="M121" i="1" s="1"/>
  <c r="L120" i="1"/>
  <c r="M120" i="1"/>
  <c r="K121" i="1"/>
  <c r="L121" i="1" s="1"/>
  <c r="K122" i="1"/>
  <c r="L122" i="1"/>
  <c r="K123" i="1"/>
  <c r="M124" i="1" s="1"/>
  <c r="M123" i="1"/>
  <c r="K124" i="1"/>
  <c r="L124" i="1"/>
  <c r="K125" i="1"/>
  <c r="M126" i="1" s="1"/>
  <c r="L125" i="1"/>
  <c r="M125" i="1"/>
  <c r="K126" i="1"/>
  <c r="M127" i="1" s="1"/>
  <c r="K127" i="1"/>
  <c r="L127" i="1" s="1"/>
  <c r="K128" i="1"/>
  <c r="M129" i="1" s="1"/>
  <c r="L128" i="1"/>
  <c r="M128" i="1"/>
  <c r="K129" i="1"/>
  <c r="L129" i="1" s="1"/>
  <c r="K130" i="1"/>
  <c r="L130" i="1"/>
  <c r="M130" i="1"/>
  <c r="K131" i="1"/>
  <c r="M132" i="1" s="1"/>
  <c r="M131" i="1"/>
  <c r="K132" i="1"/>
  <c r="L132" i="1"/>
  <c r="K133" i="1"/>
  <c r="M134" i="1" s="1"/>
  <c r="L133" i="1"/>
  <c r="M133" i="1"/>
  <c r="K134" i="1"/>
  <c r="M135" i="1" s="1"/>
  <c r="K135" i="1"/>
  <c r="L135" i="1" s="1"/>
  <c r="K136" i="1"/>
  <c r="M137" i="1" s="1"/>
  <c r="M136" i="1"/>
  <c r="K137" i="1"/>
  <c r="L137" i="1" s="1"/>
  <c r="K138" i="1"/>
  <c r="L138" i="1"/>
  <c r="K139" i="1"/>
  <c r="M140" i="1" s="1"/>
  <c r="L139" i="1"/>
  <c r="M139" i="1"/>
  <c r="K140" i="1"/>
  <c r="L140" i="1"/>
  <c r="K141" i="1"/>
  <c r="M142" i="1" s="1"/>
  <c r="L141" i="1"/>
  <c r="M141" i="1"/>
  <c r="K142" i="1"/>
  <c r="M143" i="1" s="1"/>
  <c r="L142" i="1"/>
  <c r="K143" i="1"/>
  <c r="L143" i="1" s="1"/>
  <c r="K144" i="1"/>
  <c r="M145" i="1" s="1"/>
  <c r="L144" i="1"/>
  <c r="M144" i="1"/>
  <c r="K145" i="1"/>
  <c r="L145" i="1" s="1"/>
  <c r="K146" i="1"/>
  <c r="L146" i="1"/>
  <c r="M146" i="1"/>
  <c r="K147" i="1"/>
  <c r="M148" i="1" s="1"/>
  <c r="L147" i="1"/>
  <c r="M147" i="1"/>
  <c r="K148" i="1"/>
  <c r="L148" i="1"/>
  <c r="K149" i="1"/>
  <c r="M150" i="1" s="1"/>
  <c r="L149" i="1"/>
  <c r="M149" i="1"/>
  <c r="K150" i="1"/>
  <c r="M151" i="1" s="1"/>
  <c r="L150" i="1"/>
  <c r="K151" i="1"/>
  <c r="L151" i="1" s="1"/>
  <c r="K152" i="1"/>
  <c r="M153" i="1" s="1"/>
  <c r="L152" i="1"/>
  <c r="M152" i="1"/>
  <c r="K153" i="1"/>
  <c r="L153" i="1" s="1"/>
  <c r="K154" i="1"/>
  <c r="L154" i="1"/>
  <c r="K155" i="1"/>
  <c r="M156" i="1" s="1"/>
  <c r="M155" i="1"/>
  <c r="K156" i="1"/>
  <c r="L156" i="1"/>
  <c r="K157" i="1"/>
  <c r="M158" i="1" s="1"/>
  <c r="L157" i="1"/>
  <c r="M157" i="1"/>
  <c r="K158" i="1"/>
  <c r="M159" i="1" s="1"/>
  <c r="K159" i="1"/>
  <c r="L159" i="1" s="1"/>
  <c r="K160" i="1"/>
  <c r="M161" i="1" s="1"/>
  <c r="L160" i="1"/>
  <c r="M160" i="1"/>
  <c r="K161" i="1"/>
  <c r="L161" i="1" s="1"/>
  <c r="K162" i="1"/>
  <c r="L162" i="1"/>
  <c r="M162" i="1"/>
  <c r="K163" i="1"/>
  <c r="M164" i="1" s="1"/>
  <c r="M163" i="1"/>
  <c r="K164" i="1"/>
  <c r="L164" i="1"/>
  <c r="K165" i="1"/>
  <c r="M166" i="1" s="1"/>
  <c r="L165" i="1"/>
  <c r="M165" i="1"/>
  <c r="K166" i="1"/>
  <c r="M167" i="1" s="1"/>
  <c r="K167" i="1"/>
  <c r="L167" i="1" s="1"/>
  <c r="K168" i="1"/>
  <c r="M169" i="1" s="1"/>
  <c r="M168" i="1"/>
  <c r="K169" i="1"/>
  <c r="L169" i="1" s="1"/>
  <c r="K170" i="1"/>
  <c r="L170" i="1"/>
  <c r="K171" i="1"/>
  <c r="M172" i="1" s="1"/>
  <c r="L171" i="1"/>
  <c r="M171" i="1"/>
  <c r="K172" i="1"/>
  <c r="L172" i="1"/>
  <c r="K173" i="1"/>
  <c r="M174" i="1" s="1"/>
  <c r="L173" i="1"/>
  <c r="M173" i="1"/>
  <c r="K174" i="1"/>
  <c r="M175" i="1" s="1"/>
  <c r="L174" i="1"/>
  <c r="K175" i="1"/>
  <c r="L175" i="1" s="1"/>
  <c r="K176" i="1"/>
  <c r="M177" i="1" s="1"/>
  <c r="L176" i="1"/>
  <c r="M176" i="1"/>
  <c r="K177" i="1"/>
  <c r="L177" i="1" s="1"/>
  <c r="K178" i="1"/>
  <c r="L178" i="1"/>
  <c r="M178" i="1"/>
  <c r="K179" i="1"/>
  <c r="M180" i="1" s="1"/>
  <c r="L179" i="1"/>
  <c r="M179" i="1"/>
  <c r="K180" i="1"/>
  <c r="L180" i="1"/>
  <c r="K181" i="1"/>
  <c r="M182" i="1" s="1"/>
  <c r="L181" i="1"/>
  <c r="M181" i="1"/>
  <c r="K182" i="1"/>
  <c r="M183" i="1" s="1"/>
  <c r="L182" i="1"/>
  <c r="K183" i="1"/>
  <c r="L183" i="1" s="1"/>
  <c r="K184" i="1"/>
  <c r="M185" i="1" s="1"/>
  <c r="L184" i="1"/>
  <c r="M184" i="1"/>
  <c r="K185" i="1"/>
  <c r="L185" i="1" s="1"/>
  <c r="K186" i="1"/>
  <c r="L186" i="1"/>
  <c r="K187" i="1"/>
  <c r="M188" i="1" s="1"/>
  <c r="M187" i="1"/>
  <c r="K188" i="1"/>
  <c r="L188" i="1"/>
  <c r="K189" i="1"/>
  <c r="M190" i="1" s="1"/>
  <c r="L189" i="1"/>
  <c r="M189" i="1"/>
  <c r="K190" i="1"/>
  <c r="M191" i="1" s="1"/>
  <c r="K191" i="1"/>
  <c r="L191" i="1" s="1"/>
  <c r="K192" i="1"/>
  <c r="M193" i="1" s="1"/>
  <c r="L192" i="1"/>
  <c r="M192" i="1"/>
  <c r="K193" i="1"/>
  <c r="L193" i="1" s="1"/>
  <c r="K194" i="1"/>
  <c r="L194" i="1"/>
  <c r="M194" i="1"/>
  <c r="K195" i="1"/>
  <c r="M196" i="1" s="1"/>
  <c r="M195" i="1"/>
  <c r="K196" i="1"/>
  <c r="L196" i="1"/>
  <c r="K197" i="1"/>
  <c r="M198" i="1" s="1"/>
  <c r="L197" i="1"/>
  <c r="M197" i="1"/>
  <c r="K198" i="1"/>
  <c r="M199" i="1" s="1"/>
  <c r="K199" i="1"/>
  <c r="L199" i="1" s="1"/>
  <c r="K200" i="1"/>
  <c r="M201" i="1" s="1"/>
  <c r="M200" i="1"/>
  <c r="K201" i="1"/>
  <c r="L201" i="1" s="1"/>
  <c r="K202" i="1"/>
  <c r="L202" i="1"/>
  <c r="K203" i="1"/>
  <c r="M204" i="1" s="1"/>
  <c r="L203" i="1"/>
  <c r="M203" i="1"/>
  <c r="K204" i="1"/>
  <c r="L204" i="1"/>
  <c r="K205" i="1"/>
  <c r="M206" i="1" s="1"/>
  <c r="L205" i="1"/>
  <c r="M205" i="1"/>
  <c r="K206" i="1"/>
  <c r="M207" i="1" s="1"/>
  <c r="L206" i="1"/>
  <c r="K207" i="1"/>
  <c r="L207" i="1" s="1"/>
  <c r="K208" i="1"/>
  <c r="M209" i="1" s="1"/>
  <c r="L208" i="1"/>
  <c r="M208" i="1"/>
  <c r="K209" i="1"/>
  <c r="L209" i="1" s="1"/>
  <c r="K210" i="1"/>
  <c r="L210" i="1"/>
  <c r="M210" i="1"/>
  <c r="K211" i="1"/>
  <c r="M212" i="1" s="1"/>
  <c r="L211" i="1"/>
  <c r="M211" i="1"/>
  <c r="K212" i="1"/>
  <c r="L212" i="1"/>
  <c r="K213" i="1"/>
  <c r="M214" i="1" s="1"/>
  <c r="L213" i="1"/>
  <c r="M213" i="1"/>
  <c r="K214" i="1"/>
  <c r="M215" i="1" s="1"/>
  <c r="L214" i="1"/>
  <c r="K215" i="1"/>
  <c r="L215" i="1" s="1"/>
  <c r="K216" i="1"/>
  <c r="M217" i="1" s="1"/>
  <c r="L216" i="1"/>
  <c r="M216" i="1"/>
  <c r="K217" i="1"/>
  <c r="L217" i="1" s="1"/>
  <c r="K218" i="1"/>
  <c r="L218" i="1"/>
  <c r="K219" i="1"/>
  <c r="M220" i="1" s="1"/>
  <c r="M219" i="1"/>
  <c r="K220" i="1"/>
  <c r="L220" i="1"/>
  <c r="K221" i="1"/>
  <c r="M222" i="1" s="1"/>
  <c r="L221" i="1"/>
  <c r="M221" i="1"/>
  <c r="K222" i="1"/>
  <c r="M223" i="1" s="1"/>
  <c r="K223" i="1"/>
  <c r="L223" i="1" s="1"/>
  <c r="K224" i="1"/>
  <c r="M225" i="1" s="1"/>
  <c r="L224" i="1"/>
  <c r="M224" i="1"/>
  <c r="K225" i="1"/>
  <c r="L225" i="1" s="1"/>
  <c r="K226" i="1"/>
  <c r="L226" i="1"/>
  <c r="M226" i="1"/>
  <c r="K227" i="1"/>
  <c r="M228" i="1" s="1"/>
  <c r="M227" i="1"/>
  <c r="K228" i="1"/>
  <c r="L228" i="1"/>
  <c r="K229" i="1"/>
  <c r="M230" i="1" s="1"/>
  <c r="L229" i="1"/>
  <c r="M229" i="1"/>
  <c r="K230" i="1"/>
  <c r="M231" i="1" s="1"/>
  <c r="K231" i="1"/>
  <c r="L231" i="1" s="1"/>
  <c r="K232" i="1"/>
  <c r="M233" i="1" s="1"/>
  <c r="M232" i="1"/>
  <c r="K233" i="1"/>
  <c r="L233" i="1" s="1"/>
  <c r="K234" i="1"/>
  <c r="L234" i="1"/>
  <c r="K235" i="1"/>
  <c r="M236" i="1" s="1"/>
  <c r="L235" i="1"/>
  <c r="M235" i="1"/>
  <c r="K236" i="1"/>
  <c r="L236" i="1"/>
  <c r="K237" i="1"/>
  <c r="M238" i="1" s="1"/>
  <c r="L237" i="1"/>
  <c r="M237" i="1"/>
  <c r="K238" i="1"/>
  <c r="M239" i="1" s="1"/>
  <c r="L238" i="1"/>
  <c r="K239" i="1"/>
  <c r="L239" i="1" s="1"/>
  <c r="K240" i="1"/>
  <c r="M241" i="1" s="1"/>
  <c r="L240" i="1"/>
  <c r="M240" i="1"/>
  <c r="K241" i="1"/>
  <c r="L241" i="1" s="1"/>
  <c r="K242" i="1"/>
  <c r="L242" i="1"/>
  <c r="M242" i="1"/>
  <c r="K243" i="1"/>
  <c r="M244" i="1" s="1"/>
  <c r="L243" i="1"/>
  <c r="M243" i="1"/>
  <c r="K244" i="1"/>
  <c r="L244" i="1"/>
  <c r="K245" i="1"/>
  <c r="M246" i="1" s="1"/>
  <c r="L245" i="1"/>
  <c r="M245" i="1"/>
  <c r="K246" i="1"/>
  <c r="M247" i="1" s="1"/>
  <c r="L246" i="1"/>
  <c r="K247" i="1"/>
  <c r="L247" i="1" s="1"/>
  <c r="K248" i="1"/>
  <c r="M249" i="1" s="1"/>
  <c r="L248" i="1"/>
  <c r="M248" i="1"/>
  <c r="K249" i="1"/>
  <c r="L249" i="1" s="1"/>
  <c r="K250" i="1"/>
  <c r="L250" i="1"/>
  <c r="K251" i="1"/>
  <c r="M252" i="1" s="1"/>
  <c r="M251" i="1"/>
  <c r="K252" i="1"/>
  <c r="L252" i="1"/>
  <c r="K253" i="1"/>
  <c r="M254" i="1" s="1"/>
  <c r="L253" i="1"/>
  <c r="M253" i="1"/>
  <c r="K254" i="1"/>
  <c r="M255" i="1" s="1"/>
  <c r="K255" i="1"/>
  <c r="L255" i="1" s="1"/>
  <c r="K256" i="1"/>
  <c r="M257" i="1" s="1"/>
  <c r="L256" i="1"/>
  <c r="M256" i="1"/>
  <c r="K257" i="1"/>
  <c r="L257" i="1" s="1"/>
  <c r="K258" i="1"/>
  <c r="L258" i="1"/>
  <c r="M258" i="1"/>
  <c r="K259" i="1"/>
  <c r="M260" i="1" s="1"/>
  <c r="M259" i="1"/>
  <c r="K260" i="1"/>
  <c r="L260" i="1"/>
  <c r="K261" i="1"/>
  <c r="M262" i="1" s="1"/>
  <c r="L261" i="1"/>
  <c r="M261" i="1"/>
  <c r="K262" i="1"/>
  <c r="M263" i="1" s="1"/>
  <c r="K263" i="1"/>
  <c r="L263" i="1" s="1"/>
  <c r="K264" i="1"/>
  <c r="M265" i="1" s="1"/>
  <c r="M264" i="1"/>
  <c r="K265" i="1"/>
  <c r="L265" i="1" s="1"/>
  <c r="K266" i="1"/>
  <c r="L266" i="1"/>
  <c r="K267" i="1"/>
  <c r="M268" i="1" s="1"/>
  <c r="L267" i="1"/>
  <c r="M267" i="1"/>
  <c r="K268" i="1"/>
  <c r="L268" i="1"/>
  <c r="K269" i="1"/>
  <c r="M270" i="1" s="1"/>
  <c r="L269" i="1"/>
  <c r="M269" i="1"/>
  <c r="K270" i="1"/>
  <c r="M271" i="1" s="1"/>
  <c r="L270" i="1"/>
  <c r="K271" i="1"/>
  <c r="L271" i="1" s="1"/>
  <c r="K272" i="1"/>
  <c r="M273" i="1" s="1"/>
  <c r="L272" i="1"/>
  <c r="M272" i="1"/>
  <c r="K273" i="1"/>
  <c r="L273" i="1" s="1"/>
  <c r="K274" i="1"/>
  <c r="L274" i="1"/>
  <c r="M274" i="1"/>
  <c r="K275" i="1"/>
  <c r="M276" i="1" s="1"/>
  <c r="L275" i="1"/>
  <c r="M275" i="1"/>
  <c r="K276" i="1"/>
  <c r="L276" i="1"/>
  <c r="K277" i="1"/>
  <c r="M278" i="1" s="1"/>
  <c r="L277" i="1"/>
  <c r="M277" i="1"/>
  <c r="K278" i="1"/>
  <c r="M279" i="1" s="1"/>
  <c r="L278" i="1"/>
  <c r="K279" i="1"/>
  <c r="L279" i="1" s="1"/>
  <c r="K280" i="1"/>
  <c r="M281" i="1" s="1"/>
  <c r="L280" i="1"/>
  <c r="M280" i="1"/>
  <c r="K281" i="1"/>
  <c r="L281" i="1" s="1"/>
  <c r="K282" i="1"/>
  <c r="L282" i="1"/>
  <c r="K283" i="1"/>
  <c r="M284" i="1" s="1"/>
  <c r="M283" i="1"/>
  <c r="K284" i="1"/>
  <c r="L284" i="1"/>
  <c r="K285" i="1"/>
  <c r="M286" i="1" s="1"/>
  <c r="L285" i="1"/>
  <c r="M285" i="1"/>
  <c r="K286" i="1"/>
  <c r="M287" i="1" s="1"/>
  <c r="K287" i="1"/>
  <c r="L287" i="1" s="1"/>
  <c r="K288" i="1"/>
  <c r="M289" i="1" s="1"/>
  <c r="L288" i="1"/>
  <c r="M288" i="1"/>
  <c r="K289" i="1"/>
  <c r="L289" i="1" s="1"/>
  <c r="K290" i="1"/>
  <c r="L290" i="1"/>
  <c r="M290" i="1"/>
  <c r="K291" i="1"/>
  <c r="M292" i="1" s="1"/>
  <c r="M291" i="1"/>
  <c r="K292" i="1"/>
  <c r="L292" i="1"/>
  <c r="K293" i="1"/>
  <c r="M294" i="1" s="1"/>
  <c r="L293" i="1"/>
  <c r="M293" i="1"/>
  <c r="K294" i="1"/>
  <c r="M295" i="1" s="1"/>
  <c r="K295" i="1"/>
  <c r="L295" i="1" s="1"/>
  <c r="K296" i="1"/>
  <c r="M297" i="1" s="1"/>
  <c r="M296" i="1"/>
  <c r="K297" i="1"/>
  <c r="L297" i="1" s="1"/>
  <c r="K298" i="1"/>
  <c r="L298" i="1"/>
  <c r="K299" i="1"/>
  <c r="M300" i="1" s="1"/>
  <c r="L299" i="1"/>
  <c r="M299" i="1"/>
  <c r="K300" i="1"/>
  <c r="L300" i="1"/>
  <c r="K301" i="1"/>
  <c r="M302" i="1" s="1"/>
  <c r="L301" i="1"/>
  <c r="M301" i="1"/>
  <c r="K302" i="1"/>
  <c r="M303" i="1" s="1"/>
  <c r="L302" i="1"/>
  <c r="K303" i="1"/>
  <c r="L303" i="1" s="1"/>
  <c r="K304" i="1"/>
  <c r="L304" i="1"/>
  <c r="M304" i="1"/>
  <c r="M12" i="1"/>
  <c r="F12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11" i="1"/>
  <c r="F13" i="1"/>
  <c r="F14" i="1"/>
  <c r="F16" i="1"/>
  <c r="F17" i="1"/>
  <c r="F19" i="1"/>
  <c r="F20" i="1"/>
  <c r="G20" i="1" s="1"/>
  <c r="F22" i="1"/>
  <c r="G22" i="1" s="1"/>
  <c r="F23" i="1"/>
  <c r="G23" i="1" s="1"/>
  <c r="F25" i="1"/>
  <c r="F26" i="1"/>
  <c r="F28" i="1"/>
  <c r="G28" i="1" s="1"/>
  <c r="F29" i="1"/>
  <c r="F31" i="1"/>
  <c r="F32" i="1"/>
  <c r="F34" i="1"/>
  <c r="G34" i="1" s="1"/>
  <c r="F35" i="1"/>
  <c r="G35" i="1" s="1"/>
  <c r="F37" i="1"/>
  <c r="F38" i="1"/>
  <c r="F40" i="1"/>
  <c r="F41" i="1"/>
  <c r="F43" i="1"/>
  <c r="F44" i="1"/>
  <c r="G44" i="1" s="1"/>
  <c r="F46" i="1"/>
  <c r="G46" i="1" s="1"/>
  <c r="F47" i="1"/>
  <c r="F49" i="1"/>
  <c r="F50" i="1"/>
  <c r="F52" i="1"/>
  <c r="G52" i="1" s="1"/>
  <c r="F53" i="1"/>
  <c r="F55" i="1"/>
  <c r="F56" i="1"/>
  <c r="F58" i="1"/>
  <c r="G58" i="1" s="1"/>
  <c r="F59" i="1"/>
  <c r="F61" i="1"/>
  <c r="F62" i="1"/>
  <c r="F64" i="1"/>
  <c r="F65" i="1"/>
  <c r="F67" i="1"/>
  <c r="F68" i="1"/>
  <c r="G68" i="1" s="1"/>
  <c r="F70" i="1"/>
  <c r="F71" i="1"/>
  <c r="G71" i="1" s="1"/>
  <c r="F73" i="1"/>
  <c r="F74" i="1"/>
  <c r="F76" i="1"/>
  <c r="G76" i="1" s="1"/>
  <c r="F77" i="1"/>
  <c r="F79" i="1"/>
  <c r="F80" i="1"/>
  <c r="F82" i="1"/>
  <c r="G82" i="1" s="1"/>
  <c r="F83" i="1"/>
  <c r="G83" i="1" s="1"/>
  <c r="F85" i="1"/>
  <c r="F86" i="1"/>
  <c r="F88" i="1"/>
  <c r="F89" i="1"/>
  <c r="F91" i="1"/>
  <c r="F92" i="1"/>
  <c r="G92" i="1" s="1"/>
  <c r="F94" i="1"/>
  <c r="F95" i="1"/>
  <c r="G95" i="1" s="1"/>
  <c r="F97" i="1"/>
  <c r="F98" i="1"/>
  <c r="F100" i="1"/>
  <c r="G100" i="1" s="1"/>
  <c r="F101" i="1"/>
  <c r="F103" i="1"/>
  <c r="F104" i="1"/>
  <c r="F106" i="1"/>
  <c r="G106" i="1" s="1"/>
  <c r="F107" i="1"/>
  <c r="G107" i="1" s="1"/>
  <c r="F109" i="1"/>
  <c r="F110" i="1"/>
  <c r="F112" i="1"/>
  <c r="F113" i="1"/>
  <c r="F115" i="1"/>
  <c r="F116" i="1"/>
  <c r="G116" i="1" s="1"/>
  <c r="F118" i="1"/>
  <c r="G118" i="1" s="1"/>
  <c r="F119" i="1"/>
  <c r="G119" i="1" s="1"/>
  <c r="F121" i="1"/>
  <c r="F122" i="1"/>
  <c r="F124" i="1"/>
  <c r="G124" i="1" s="1"/>
  <c r="F125" i="1"/>
  <c r="F127" i="1"/>
  <c r="F128" i="1"/>
  <c r="F130" i="1"/>
  <c r="G130" i="1" s="1"/>
  <c r="F131" i="1"/>
  <c r="G131" i="1" s="1"/>
  <c r="F133" i="1"/>
  <c r="F134" i="1"/>
  <c r="F136" i="1"/>
  <c r="F137" i="1"/>
  <c r="F139" i="1"/>
  <c r="F140" i="1"/>
  <c r="G140" i="1" s="1"/>
  <c r="F142" i="1"/>
  <c r="F143" i="1"/>
  <c r="G143" i="1" s="1"/>
  <c r="F145" i="1"/>
  <c r="F146" i="1"/>
  <c r="F148" i="1"/>
  <c r="G148" i="1" s="1"/>
  <c r="F149" i="1"/>
  <c r="F151" i="1"/>
  <c r="F152" i="1"/>
  <c r="F154" i="1"/>
  <c r="G154" i="1" s="1"/>
  <c r="F155" i="1"/>
  <c r="G155" i="1" s="1"/>
  <c r="F157" i="1"/>
  <c r="F158" i="1"/>
  <c r="F160" i="1"/>
  <c r="F161" i="1"/>
  <c r="F163" i="1"/>
  <c r="F164" i="1"/>
  <c r="G164" i="1" s="1"/>
  <c r="F166" i="1"/>
  <c r="G166" i="1" s="1"/>
  <c r="F167" i="1"/>
  <c r="G167" i="1" s="1"/>
  <c r="F169" i="1"/>
  <c r="F170" i="1"/>
  <c r="F172" i="1"/>
  <c r="G172" i="1" s="1"/>
  <c r="F173" i="1"/>
  <c r="F175" i="1"/>
  <c r="F176" i="1"/>
  <c r="F178" i="1"/>
  <c r="G178" i="1" s="1"/>
  <c r="F179" i="1"/>
  <c r="F181" i="1"/>
  <c r="F182" i="1"/>
  <c r="F184" i="1"/>
  <c r="F185" i="1"/>
  <c r="F187" i="1"/>
  <c r="F188" i="1"/>
  <c r="G188" i="1" s="1"/>
  <c r="F190" i="1"/>
  <c r="G190" i="1" s="1"/>
  <c r="F191" i="1"/>
  <c r="G191" i="1" s="1"/>
  <c r="F193" i="1"/>
  <c r="F194" i="1"/>
  <c r="F196" i="1"/>
  <c r="G196" i="1" s="1"/>
  <c r="F197" i="1"/>
  <c r="F199" i="1"/>
  <c r="F200" i="1"/>
  <c r="F202" i="1"/>
  <c r="G202" i="1" s="1"/>
  <c r="F203" i="1"/>
  <c r="G203" i="1" s="1"/>
  <c r="F205" i="1"/>
  <c r="F206" i="1"/>
  <c r="F208" i="1"/>
  <c r="F209" i="1"/>
  <c r="F211" i="1"/>
  <c r="F212" i="1"/>
  <c r="G212" i="1" s="1"/>
  <c r="F214" i="1"/>
  <c r="G214" i="1" s="1"/>
  <c r="F215" i="1"/>
  <c r="F217" i="1"/>
  <c r="F218" i="1"/>
  <c r="F220" i="1"/>
  <c r="G220" i="1" s="1"/>
  <c r="F221" i="1"/>
  <c r="F223" i="1"/>
  <c r="F224" i="1"/>
  <c r="F226" i="1"/>
  <c r="G226" i="1" s="1"/>
  <c r="F227" i="1"/>
  <c r="F229" i="1"/>
  <c r="F230" i="1"/>
  <c r="F232" i="1"/>
  <c r="F233" i="1"/>
  <c r="F235" i="1"/>
  <c r="F236" i="1"/>
  <c r="G236" i="1" s="1"/>
  <c r="F238" i="1"/>
  <c r="F239" i="1"/>
  <c r="F241" i="1"/>
  <c r="F242" i="1"/>
  <c r="F244" i="1"/>
  <c r="G244" i="1" s="1"/>
  <c r="F245" i="1"/>
  <c r="F247" i="1"/>
  <c r="F248" i="1"/>
  <c r="F250" i="1"/>
  <c r="G250" i="1" s="1"/>
  <c r="F251" i="1"/>
  <c r="G251" i="1" s="1"/>
  <c r="F253" i="1"/>
  <c r="F254" i="1"/>
  <c r="F256" i="1"/>
  <c r="F257" i="1"/>
  <c r="F259" i="1"/>
  <c r="F260" i="1"/>
  <c r="G260" i="1" s="1"/>
  <c r="F262" i="1"/>
  <c r="G262" i="1" s="1"/>
  <c r="F263" i="1"/>
  <c r="G263" i="1" s="1"/>
  <c r="F265" i="1"/>
  <c r="F266" i="1"/>
  <c r="F268" i="1"/>
  <c r="G268" i="1" s="1"/>
  <c r="F269" i="1"/>
  <c r="F271" i="1"/>
  <c r="F272" i="1"/>
  <c r="F274" i="1"/>
  <c r="G274" i="1" s="1"/>
  <c r="F275" i="1"/>
  <c r="G275" i="1" s="1"/>
  <c r="F277" i="1"/>
  <c r="F278" i="1"/>
  <c r="F280" i="1"/>
  <c r="F281" i="1"/>
  <c r="F283" i="1"/>
  <c r="F284" i="1"/>
  <c r="G284" i="1" s="1"/>
  <c r="F286" i="1"/>
  <c r="G286" i="1" s="1"/>
  <c r="F287" i="1"/>
  <c r="G287" i="1" s="1"/>
  <c r="F289" i="1"/>
  <c r="F290" i="1"/>
  <c r="F292" i="1"/>
  <c r="G292" i="1" s="1"/>
  <c r="F293" i="1"/>
  <c r="F295" i="1"/>
  <c r="F296" i="1"/>
  <c r="F298" i="1"/>
  <c r="G298" i="1" s="1"/>
  <c r="F299" i="1"/>
  <c r="G299" i="1" s="1"/>
  <c r="F301" i="1"/>
  <c r="F302" i="1"/>
  <c r="F304" i="1"/>
  <c r="G12" i="1"/>
  <c r="G13" i="1"/>
  <c r="G14" i="1"/>
  <c r="G15" i="1"/>
  <c r="G16" i="1"/>
  <c r="G17" i="1"/>
  <c r="G18" i="1"/>
  <c r="G19" i="1"/>
  <c r="G21" i="1"/>
  <c r="G24" i="1"/>
  <c r="G25" i="1"/>
  <c r="G26" i="1"/>
  <c r="G27" i="1"/>
  <c r="G29" i="1"/>
  <c r="G30" i="1"/>
  <c r="G31" i="1"/>
  <c r="G32" i="1"/>
  <c r="G33" i="1"/>
  <c r="G36" i="1"/>
  <c r="G37" i="1"/>
  <c r="G38" i="1"/>
  <c r="G39" i="1"/>
  <c r="G40" i="1"/>
  <c r="G41" i="1"/>
  <c r="G42" i="1"/>
  <c r="G43" i="1"/>
  <c r="G45" i="1"/>
  <c r="G48" i="1"/>
  <c r="G49" i="1"/>
  <c r="G50" i="1"/>
  <c r="G51" i="1"/>
  <c r="G53" i="1"/>
  <c r="G54" i="1"/>
  <c r="G55" i="1"/>
  <c r="G56" i="1"/>
  <c r="G57" i="1"/>
  <c r="G60" i="1"/>
  <c r="G61" i="1"/>
  <c r="G62" i="1"/>
  <c r="G63" i="1"/>
  <c r="G64" i="1"/>
  <c r="G65" i="1"/>
  <c r="G66" i="1"/>
  <c r="G67" i="1"/>
  <c r="G69" i="1"/>
  <c r="G72" i="1"/>
  <c r="G73" i="1"/>
  <c r="G74" i="1"/>
  <c r="G75" i="1"/>
  <c r="G77" i="1"/>
  <c r="G78" i="1"/>
  <c r="G79" i="1"/>
  <c r="G80" i="1"/>
  <c r="G81" i="1"/>
  <c r="G84" i="1"/>
  <c r="G85" i="1"/>
  <c r="G86" i="1"/>
  <c r="G87" i="1"/>
  <c r="G88" i="1"/>
  <c r="G89" i="1"/>
  <c r="G90" i="1"/>
  <c r="G91" i="1"/>
  <c r="G93" i="1"/>
  <c r="G96" i="1"/>
  <c r="G97" i="1"/>
  <c r="G98" i="1"/>
  <c r="G99" i="1"/>
  <c r="G101" i="1"/>
  <c r="G102" i="1"/>
  <c r="G103" i="1"/>
  <c r="G104" i="1"/>
  <c r="G105" i="1"/>
  <c r="G108" i="1"/>
  <c r="G109" i="1"/>
  <c r="G110" i="1"/>
  <c r="G111" i="1"/>
  <c r="G112" i="1"/>
  <c r="G113" i="1"/>
  <c r="G114" i="1"/>
  <c r="G115" i="1"/>
  <c r="G117" i="1"/>
  <c r="G120" i="1"/>
  <c r="G121" i="1"/>
  <c r="G122" i="1"/>
  <c r="G123" i="1"/>
  <c r="G125" i="1"/>
  <c r="G126" i="1"/>
  <c r="G127" i="1"/>
  <c r="G128" i="1"/>
  <c r="G129" i="1"/>
  <c r="G132" i="1"/>
  <c r="G133" i="1"/>
  <c r="G134" i="1"/>
  <c r="G135" i="1"/>
  <c r="G136" i="1"/>
  <c r="G137" i="1"/>
  <c r="G138" i="1"/>
  <c r="G139" i="1"/>
  <c r="G141" i="1"/>
  <c r="G144" i="1"/>
  <c r="G145" i="1"/>
  <c r="G146" i="1"/>
  <c r="G147" i="1"/>
  <c r="G149" i="1"/>
  <c r="G150" i="1"/>
  <c r="G151" i="1"/>
  <c r="G152" i="1"/>
  <c r="G153" i="1"/>
  <c r="G156" i="1"/>
  <c r="G157" i="1"/>
  <c r="G158" i="1"/>
  <c r="G159" i="1"/>
  <c r="G160" i="1"/>
  <c r="G161" i="1"/>
  <c r="G162" i="1"/>
  <c r="G163" i="1"/>
  <c r="G165" i="1"/>
  <c r="G168" i="1"/>
  <c r="G169" i="1"/>
  <c r="G170" i="1"/>
  <c r="G171" i="1"/>
  <c r="G173" i="1"/>
  <c r="G174" i="1"/>
  <c r="G175" i="1"/>
  <c r="G176" i="1"/>
  <c r="G177" i="1"/>
  <c r="G180" i="1"/>
  <c r="G181" i="1"/>
  <c r="G182" i="1"/>
  <c r="G183" i="1"/>
  <c r="G184" i="1"/>
  <c r="G185" i="1"/>
  <c r="G186" i="1"/>
  <c r="G187" i="1"/>
  <c r="G189" i="1"/>
  <c r="G192" i="1"/>
  <c r="G193" i="1"/>
  <c r="G194" i="1"/>
  <c r="G195" i="1"/>
  <c r="G197" i="1"/>
  <c r="G198" i="1"/>
  <c r="G199" i="1"/>
  <c r="G200" i="1"/>
  <c r="G201" i="1"/>
  <c r="G204" i="1"/>
  <c r="G205" i="1"/>
  <c r="G206" i="1"/>
  <c r="G207" i="1"/>
  <c r="G208" i="1"/>
  <c r="G209" i="1"/>
  <c r="G210" i="1"/>
  <c r="G211" i="1"/>
  <c r="G213" i="1"/>
  <c r="G216" i="1"/>
  <c r="G217" i="1"/>
  <c r="G218" i="1"/>
  <c r="G219" i="1"/>
  <c r="G221" i="1"/>
  <c r="G222" i="1"/>
  <c r="G223" i="1"/>
  <c r="G224" i="1"/>
  <c r="G225" i="1"/>
  <c r="G228" i="1"/>
  <c r="G229" i="1"/>
  <c r="G230" i="1"/>
  <c r="G231" i="1"/>
  <c r="G232" i="1"/>
  <c r="G233" i="1"/>
  <c r="G234" i="1"/>
  <c r="G235" i="1"/>
  <c r="G237" i="1"/>
  <c r="G240" i="1"/>
  <c r="G241" i="1"/>
  <c r="G242" i="1"/>
  <c r="G243" i="1"/>
  <c r="G245" i="1"/>
  <c r="G246" i="1"/>
  <c r="G247" i="1"/>
  <c r="G248" i="1"/>
  <c r="G249" i="1"/>
  <c r="G252" i="1"/>
  <c r="G253" i="1"/>
  <c r="G254" i="1"/>
  <c r="G255" i="1"/>
  <c r="G256" i="1"/>
  <c r="G257" i="1"/>
  <c r="G258" i="1"/>
  <c r="G259" i="1"/>
  <c r="G261" i="1"/>
  <c r="G264" i="1"/>
  <c r="G265" i="1"/>
  <c r="G266" i="1"/>
  <c r="G267" i="1"/>
  <c r="G269" i="1"/>
  <c r="G270" i="1"/>
  <c r="G271" i="1"/>
  <c r="G272" i="1"/>
  <c r="G273" i="1"/>
  <c r="G276" i="1"/>
  <c r="G277" i="1"/>
  <c r="G278" i="1"/>
  <c r="G279" i="1"/>
  <c r="G280" i="1"/>
  <c r="G281" i="1"/>
  <c r="G282" i="1"/>
  <c r="G283" i="1"/>
  <c r="G285" i="1"/>
  <c r="G288" i="1"/>
  <c r="G289" i="1"/>
  <c r="G290" i="1"/>
  <c r="G291" i="1"/>
  <c r="G293" i="1"/>
  <c r="G294" i="1"/>
  <c r="G295" i="1"/>
  <c r="G296" i="1"/>
  <c r="G297" i="1"/>
  <c r="G300" i="1"/>
  <c r="G301" i="1"/>
  <c r="G302" i="1"/>
  <c r="G303" i="1"/>
  <c r="G304" i="1"/>
  <c r="F10" i="1"/>
  <c r="F11" i="1"/>
  <c r="G11" i="1" s="1"/>
  <c r="G10" i="1"/>
  <c r="O21" i="3"/>
  <c r="O20" i="3"/>
  <c r="O19" i="3"/>
  <c r="O18" i="3"/>
  <c r="O17" i="3"/>
  <c r="O16" i="3"/>
  <c r="N21" i="3"/>
  <c r="N20" i="3"/>
  <c r="N19" i="3"/>
  <c r="N18" i="3"/>
  <c r="N17" i="3"/>
  <c r="N16" i="3"/>
  <c r="AX6" i="1"/>
  <c r="AS6" i="1"/>
  <c r="AN6" i="1"/>
  <c r="AI6" i="1"/>
  <c r="AD6" i="1"/>
  <c r="Y6" i="1"/>
  <c r="T6" i="1"/>
  <c r="O6" i="1"/>
  <c r="J6" i="1"/>
  <c r="E6" i="1"/>
  <c r="L17" i="3"/>
  <c r="D17" i="3" s="1"/>
  <c r="O12" i="3"/>
  <c r="L20" i="3"/>
  <c r="D20" i="3" s="1"/>
  <c r="L21" i="3"/>
  <c r="D21" i="3" s="1"/>
  <c r="L16" i="3"/>
  <c r="D16" i="3" s="1"/>
  <c r="L18" i="3"/>
  <c r="D18" i="3" s="1"/>
  <c r="L19" i="3"/>
  <c r="D19" i="3" s="1"/>
  <c r="L15" i="3"/>
  <c r="D15" i="3" s="1"/>
  <c r="L14" i="3"/>
  <c r="D14" i="3" s="1"/>
  <c r="L13" i="3"/>
  <c r="D13" i="3" s="1"/>
  <c r="L12" i="3"/>
  <c r="D12" i="3" s="1"/>
  <c r="N14" i="3"/>
  <c r="N12" i="3"/>
  <c r="G13" i="3" l="1"/>
  <c r="G13" i="4"/>
  <c r="E27" i="4" s="1"/>
  <c r="O13" i="4"/>
  <c r="P27" i="4" s="1"/>
  <c r="O13" i="3"/>
  <c r="M14" i="1"/>
  <c r="N15" i="3"/>
  <c r="F15" i="3"/>
  <c r="G15" i="3"/>
  <c r="O15" i="3"/>
  <c r="V15" i="1"/>
  <c r="R16" i="1"/>
  <c r="AZ302" i="1"/>
  <c r="BA299" i="1"/>
  <c r="AZ294" i="1"/>
  <c r="BA291" i="1"/>
  <c r="AZ286" i="1"/>
  <c r="BA283" i="1"/>
  <c r="AZ278" i="1"/>
  <c r="BA275" i="1"/>
  <c r="AZ270" i="1"/>
  <c r="BA267" i="1"/>
  <c r="AZ262" i="1"/>
  <c r="BA259" i="1"/>
  <c r="AZ254" i="1"/>
  <c r="BA251" i="1"/>
  <c r="AZ246" i="1"/>
  <c r="BA243" i="1"/>
  <c r="AZ238" i="1"/>
  <c r="BA235" i="1"/>
  <c r="AZ230" i="1"/>
  <c r="BA227" i="1"/>
  <c r="AZ222" i="1"/>
  <c r="BA219" i="1"/>
  <c r="AZ214" i="1"/>
  <c r="BA211" i="1"/>
  <c r="AZ206" i="1"/>
  <c r="BA203" i="1"/>
  <c r="AZ198" i="1"/>
  <c r="BA195" i="1"/>
  <c r="AZ190" i="1"/>
  <c r="BA187" i="1"/>
  <c r="AZ182" i="1"/>
  <c r="BA179" i="1"/>
  <c r="AZ174" i="1"/>
  <c r="BA171" i="1"/>
  <c r="AZ166" i="1"/>
  <c r="BA163" i="1"/>
  <c r="AZ158" i="1"/>
  <c r="BA155" i="1"/>
  <c r="AZ150" i="1"/>
  <c r="BA147" i="1"/>
  <c r="AZ142" i="1"/>
  <c r="BA139" i="1"/>
  <c r="AZ134" i="1"/>
  <c r="BA131" i="1"/>
  <c r="AZ126" i="1"/>
  <c r="BA123" i="1"/>
  <c r="AZ118" i="1"/>
  <c r="BA115" i="1"/>
  <c r="AZ110" i="1"/>
  <c r="BA107" i="1"/>
  <c r="AZ102" i="1"/>
  <c r="BA99" i="1"/>
  <c r="AZ94" i="1"/>
  <c r="BA91" i="1"/>
  <c r="AZ86" i="1"/>
  <c r="BA83" i="1"/>
  <c r="AZ78" i="1"/>
  <c r="BA75" i="1"/>
  <c r="AZ70" i="1"/>
  <c r="BA67" i="1"/>
  <c r="AZ62" i="1"/>
  <c r="BA59" i="1"/>
  <c r="AZ54" i="1"/>
  <c r="BA51" i="1"/>
  <c r="AZ46" i="1"/>
  <c r="BA43" i="1"/>
  <c r="AZ38" i="1"/>
  <c r="BA35" i="1"/>
  <c r="AZ30" i="1"/>
  <c r="BA27" i="1"/>
  <c r="AZ22" i="1"/>
  <c r="BA19" i="1"/>
  <c r="AZ14" i="1"/>
  <c r="BA11" i="1"/>
  <c r="AZ11" i="1"/>
  <c r="AU42" i="1"/>
  <c r="AV43" i="1"/>
  <c r="AV300" i="1"/>
  <c r="AU273" i="1"/>
  <c r="AU263" i="1"/>
  <c r="AV253" i="1"/>
  <c r="AV243" i="1"/>
  <c r="AV236" i="1"/>
  <c r="AU209" i="1"/>
  <c r="AU199" i="1"/>
  <c r="AV189" i="1"/>
  <c r="AV179" i="1"/>
  <c r="AV172" i="1"/>
  <c r="AV155" i="1"/>
  <c r="AU148" i="1"/>
  <c r="AU137" i="1"/>
  <c r="AU127" i="1"/>
  <c r="AU95" i="1"/>
  <c r="AU63" i="1"/>
  <c r="AU31" i="1"/>
  <c r="AU28" i="1"/>
  <c r="AV276" i="1"/>
  <c r="AU249" i="1"/>
  <c r="AU239" i="1"/>
  <c r="AV212" i="1"/>
  <c r="AU185" i="1"/>
  <c r="AU175" i="1"/>
  <c r="AU151" i="1"/>
  <c r="AU116" i="1"/>
  <c r="AU105" i="1"/>
  <c r="AU84" i="1"/>
  <c r="AU73" i="1"/>
  <c r="AU52" i="1"/>
  <c r="AU34" i="1"/>
  <c r="AV35" i="1"/>
  <c r="AU18" i="1"/>
  <c r="AV19" i="1"/>
  <c r="AV259" i="1"/>
  <c r="AV252" i="1"/>
  <c r="AV195" i="1"/>
  <c r="AV188" i="1"/>
  <c r="AV147" i="1"/>
  <c r="AV299" i="1"/>
  <c r="AV292" i="1"/>
  <c r="AU265" i="1"/>
  <c r="AU255" i="1"/>
  <c r="AV235" i="1"/>
  <c r="AV228" i="1"/>
  <c r="AU201" i="1"/>
  <c r="AU191" i="1"/>
  <c r="AV171" i="1"/>
  <c r="AV164" i="1"/>
  <c r="AU143" i="1"/>
  <c r="AU129" i="1"/>
  <c r="AV115" i="1"/>
  <c r="AU108" i="1"/>
  <c r="AU97" i="1"/>
  <c r="AV83" i="1"/>
  <c r="AU76" i="1"/>
  <c r="AU65" i="1"/>
  <c r="AV51" i="1"/>
  <c r="AU26" i="1"/>
  <c r="AV27" i="1"/>
  <c r="AU10" i="1"/>
  <c r="AU11" i="1"/>
  <c r="AP18" i="1"/>
  <c r="AQ19" i="1"/>
  <c r="AP106" i="1"/>
  <c r="AQ107" i="1"/>
  <c r="AP74" i="1"/>
  <c r="AQ75" i="1"/>
  <c r="AP42" i="1"/>
  <c r="AQ43" i="1"/>
  <c r="AQ251" i="1"/>
  <c r="AQ187" i="1"/>
  <c r="AQ123" i="1"/>
  <c r="AQ291" i="1"/>
  <c r="AP257" i="1"/>
  <c r="AP247" i="1"/>
  <c r="AP244" i="1"/>
  <c r="AQ227" i="1"/>
  <c r="AP193" i="1"/>
  <c r="AP183" i="1"/>
  <c r="AP180" i="1"/>
  <c r="AQ163" i="1"/>
  <c r="AP129" i="1"/>
  <c r="AP119" i="1"/>
  <c r="AP116" i="1"/>
  <c r="AP98" i="1"/>
  <c r="AQ99" i="1"/>
  <c r="AP66" i="1"/>
  <c r="AQ67" i="1"/>
  <c r="AP34" i="1"/>
  <c r="AQ35" i="1"/>
  <c r="AP82" i="1"/>
  <c r="AQ83" i="1"/>
  <c r="AP50" i="1"/>
  <c r="AQ51" i="1"/>
  <c r="AQ267" i="1"/>
  <c r="AQ203" i="1"/>
  <c r="AQ139" i="1"/>
  <c r="AP273" i="1"/>
  <c r="AP263" i="1"/>
  <c r="AP260" i="1"/>
  <c r="AQ243" i="1"/>
  <c r="AP209" i="1"/>
  <c r="AP199" i="1"/>
  <c r="AP196" i="1"/>
  <c r="AQ179" i="1"/>
  <c r="AP145" i="1"/>
  <c r="AP135" i="1"/>
  <c r="AP132" i="1"/>
  <c r="AQ115" i="1"/>
  <c r="AP90" i="1"/>
  <c r="AQ91" i="1"/>
  <c r="AP58" i="1"/>
  <c r="AQ59" i="1"/>
  <c r="AP26" i="1"/>
  <c r="AQ27" i="1"/>
  <c r="AP10" i="1"/>
  <c r="AL303" i="1"/>
  <c r="AK290" i="1"/>
  <c r="AL287" i="1"/>
  <c r="AK274" i="1"/>
  <c r="AL271" i="1"/>
  <c r="AK258" i="1"/>
  <c r="AL255" i="1"/>
  <c r="AK242" i="1"/>
  <c r="AL239" i="1"/>
  <c r="AK226" i="1"/>
  <c r="AL223" i="1"/>
  <c r="AK210" i="1"/>
  <c r="AL207" i="1"/>
  <c r="AK194" i="1"/>
  <c r="AL191" i="1"/>
  <c r="AK178" i="1"/>
  <c r="AL175" i="1"/>
  <c r="AK162" i="1"/>
  <c r="AL159" i="1"/>
  <c r="AK146" i="1"/>
  <c r="AL143" i="1"/>
  <c r="AK130" i="1"/>
  <c r="AL127" i="1"/>
  <c r="AK114" i="1"/>
  <c r="AL111" i="1"/>
  <c r="AK101" i="1"/>
  <c r="AL102" i="1"/>
  <c r="AK74" i="1"/>
  <c r="AL71" i="1"/>
  <c r="AK37" i="1"/>
  <c r="AL38" i="1"/>
  <c r="AK93" i="1"/>
  <c r="AL94" i="1"/>
  <c r="AK29" i="1"/>
  <c r="AL30" i="1"/>
  <c r="AK69" i="1"/>
  <c r="AL70" i="1"/>
  <c r="AK45" i="1"/>
  <c r="AL46" i="1"/>
  <c r="AK85" i="1"/>
  <c r="AL86" i="1"/>
  <c r="AL48" i="1"/>
  <c r="AK21" i="1"/>
  <c r="AL22" i="1"/>
  <c r="AK61" i="1"/>
  <c r="AL62" i="1"/>
  <c r="AK77" i="1"/>
  <c r="AL78" i="1"/>
  <c r="AK50" i="1"/>
  <c r="AL47" i="1"/>
  <c r="AK90" i="1"/>
  <c r="AL87" i="1"/>
  <c r="AK53" i="1"/>
  <c r="AL54" i="1"/>
  <c r="AK26" i="1"/>
  <c r="AL23" i="1"/>
  <c r="AK13" i="1"/>
  <c r="AL14" i="1"/>
  <c r="AK10" i="1"/>
  <c r="AK11" i="1"/>
  <c r="AG252" i="1"/>
  <c r="AG195" i="1"/>
  <c r="AG259" i="1"/>
  <c r="AG188" i="1"/>
  <c r="AG131" i="1"/>
  <c r="AG124" i="1"/>
  <c r="AG292" i="1"/>
  <c r="AG282" i="1"/>
  <c r="AF248" i="1"/>
  <c r="AF245" i="1"/>
  <c r="AG228" i="1"/>
  <c r="AG218" i="1"/>
  <c r="AF184" i="1"/>
  <c r="AF181" i="1"/>
  <c r="AG164" i="1"/>
  <c r="AG154" i="1"/>
  <c r="AF120" i="1"/>
  <c r="AF117" i="1"/>
  <c r="AF82" i="1"/>
  <c r="AF50" i="1"/>
  <c r="AF18" i="1"/>
  <c r="AG268" i="1"/>
  <c r="AG258" i="1"/>
  <c r="AG204" i="1"/>
  <c r="AG194" i="1"/>
  <c r="AG140" i="1"/>
  <c r="AG130" i="1"/>
  <c r="AG92" i="1"/>
  <c r="AG60" i="1"/>
  <c r="AG28" i="1"/>
  <c r="AG298" i="1"/>
  <c r="AF264" i="1"/>
  <c r="AF261" i="1"/>
  <c r="AG244" i="1"/>
  <c r="AG234" i="1"/>
  <c r="AF200" i="1"/>
  <c r="AF197" i="1"/>
  <c r="AG180" i="1"/>
  <c r="AG170" i="1"/>
  <c r="AF136" i="1"/>
  <c r="AF133" i="1"/>
  <c r="AG116" i="1"/>
  <c r="AF106" i="1"/>
  <c r="AF74" i="1"/>
  <c r="AF42" i="1"/>
  <c r="AG11" i="1"/>
  <c r="AF12" i="1"/>
  <c r="AB294" i="1"/>
  <c r="AA293" i="1"/>
  <c r="AB134" i="1"/>
  <c r="AA133" i="1"/>
  <c r="AA129" i="1"/>
  <c r="AB130" i="1"/>
  <c r="AB286" i="1"/>
  <c r="AA285" i="1"/>
  <c r="AB254" i="1"/>
  <c r="AA253" i="1"/>
  <c r="AB222" i="1"/>
  <c r="AA221" i="1"/>
  <c r="AB190" i="1"/>
  <c r="AA189" i="1"/>
  <c r="AB158" i="1"/>
  <c r="AA157" i="1"/>
  <c r="AB126" i="1"/>
  <c r="AA125" i="1"/>
  <c r="AA110" i="1"/>
  <c r="AA73" i="1"/>
  <c r="AB74" i="1"/>
  <c r="AA46" i="1"/>
  <c r="AA273" i="1"/>
  <c r="AB274" i="1"/>
  <c r="AA241" i="1"/>
  <c r="AB242" i="1"/>
  <c r="AA169" i="1"/>
  <c r="AB170" i="1"/>
  <c r="AA137" i="1"/>
  <c r="AB138" i="1"/>
  <c r="AB230" i="1"/>
  <c r="AA229" i="1"/>
  <c r="AA25" i="1"/>
  <c r="AB26" i="1"/>
  <c r="AA289" i="1"/>
  <c r="AB290" i="1"/>
  <c r="AA193" i="1"/>
  <c r="AB194" i="1"/>
  <c r="AA281" i="1"/>
  <c r="AB282" i="1"/>
  <c r="AA249" i="1"/>
  <c r="AB250" i="1"/>
  <c r="AA217" i="1"/>
  <c r="AB218" i="1"/>
  <c r="AA185" i="1"/>
  <c r="AB186" i="1"/>
  <c r="AA153" i="1"/>
  <c r="AB154" i="1"/>
  <c r="AA121" i="1"/>
  <c r="AB122" i="1"/>
  <c r="AA65" i="1"/>
  <c r="AB66" i="1"/>
  <c r="AA209" i="1"/>
  <c r="AB210" i="1"/>
  <c r="AA177" i="1"/>
  <c r="AB178" i="1"/>
  <c r="AA145" i="1"/>
  <c r="AB146" i="1"/>
  <c r="AA113" i="1"/>
  <c r="AB114" i="1"/>
  <c r="AA49" i="1"/>
  <c r="AB50" i="1"/>
  <c r="AB302" i="1"/>
  <c r="AA301" i="1"/>
  <c r="AB270" i="1"/>
  <c r="AA269" i="1"/>
  <c r="AB238" i="1"/>
  <c r="AA237" i="1"/>
  <c r="AB206" i="1"/>
  <c r="AA205" i="1"/>
  <c r="AB174" i="1"/>
  <c r="AA173" i="1"/>
  <c r="AB142" i="1"/>
  <c r="AA141" i="1"/>
  <c r="AA105" i="1"/>
  <c r="AB106" i="1"/>
  <c r="AA41" i="1"/>
  <c r="AB42" i="1"/>
  <c r="AA297" i="1"/>
  <c r="AB298" i="1"/>
  <c r="AA265" i="1"/>
  <c r="AB266" i="1"/>
  <c r="AA233" i="1"/>
  <c r="AB234" i="1"/>
  <c r="AA201" i="1"/>
  <c r="AB202" i="1"/>
  <c r="AA97" i="1"/>
  <c r="AB98" i="1"/>
  <c r="AA33" i="1"/>
  <c r="AB34" i="1"/>
  <c r="AB262" i="1"/>
  <c r="AA261" i="1"/>
  <c r="AB198" i="1"/>
  <c r="AA197" i="1"/>
  <c r="AB166" i="1"/>
  <c r="AA165" i="1"/>
  <c r="AA89" i="1"/>
  <c r="AB90" i="1"/>
  <c r="AA257" i="1"/>
  <c r="AB258" i="1"/>
  <c r="AA225" i="1"/>
  <c r="AB226" i="1"/>
  <c r="AA161" i="1"/>
  <c r="AB162" i="1"/>
  <c r="AA81" i="1"/>
  <c r="AB82" i="1"/>
  <c r="AA17" i="1"/>
  <c r="AB18" i="1"/>
  <c r="AB278" i="1"/>
  <c r="AA277" i="1"/>
  <c r="AB246" i="1"/>
  <c r="AA245" i="1"/>
  <c r="AB214" i="1"/>
  <c r="AA213" i="1"/>
  <c r="AB182" i="1"/>
  <c r="AA181" i="1"/>
  <c r="AB150" i="1"/>
  <c r="AA149" i="1"/>
  <c r="AB118" i="1"/>
  <c r="AA117" i="1"/>
  <c r="AA94" i="1"/>
  <c r="AA57" i="1"/>
  <c r="AB58" i="1"/>
  <c r="AA30" i="1"/>
  <c r="AA109" i="1"/>
  <c r="AA101" i="1"/>
  <c r="AA93" i="1"/>
  <c r="AA85" i="1"/>
  <c r="AA77" i="1"/>
  <c r="AA69" i="1"/>
  <c r="AA61" i="1"/>
  <c r="AA53" i="1"/>
  <c r="AA45" i="1"/>
  <c r="AA37" i="1"/>
  <c r="AA29" i="1"/>
  <c r="AA21" i="1"/>
  <c r="AA13" i="1"/>
  <c r="V18" i="1"/>
  <c r="W19" i="1"/>
  <c r="W300" i="1"/>
  <c r="W253" i="1"/>
  <c r="W236" i="1"/>
  <c r="W189" i="1"/>
  <c r="W172" i="1"/>
  <c r="V303" i="1"/>
  <c r="W283" i="1"/>
  <c r="W276" i="1"/>
  <c r="V249" i="1"/>
  <c r="V239" i="1"/>
  <c r="W219" i="1"/>
  <c r="W212" i="1"/>
  <c r="V185" i="1"/>
  <c r="V175" i="1"/>
  <c r="W155" i="1"/>
  <c r="W148" i="1"/>
  <c r="W131" i="1"/>
  <c r="V124" i="1"/>
  <c r="V113" i="1"/>
  <c r="W99" i="1"/>
  <c r="V92" i="1"/>
  <c r="V81" i="1"/>
  <c r="W67" i="1"/>
  <c r="V60" i="1"/>
  <c r="V49" i="1"/>
  <c r="V31" i="1"/>
  <c r="V28" i="1"/>
  <c r="W252" i="1"/>
  <c r="W188" i="1"/>
  <c r="V34" i="1"/>
  <c r="W35" i="1"/>
  <c r="V26" i="1"/>
  <c r="W27" i="1"/>
  <c r="W259" i="1"/>
  <c r="W195" i="1"/>
  <c r="W299" i="1"/>
  <c r="W292" i="1"/>
  <c r="V265" i="1"/>
  <c r="V255" i="1"/>
  <c r="W235" i="1"/>
  <c r="W228" i="1"/>
  <c r="V201" i="1"/>
  <c r="V191" i="1"/>
  <c r="W171" i="1"/>
  <c r="W164" i="1"/>
  <c r="V137" i="1"/>
  <c r="W123" i="1"/>
  <c r="V116" i="1"/>
  <c r="V105" i="1"/>
  <c r="W91" i="1"/>
  <c r="V84" i="1"/>
  <c r="V73" i="1"/>
  <c r="W59" i="1"/>
  <c r="V52" i="1"/>
  <c r="V41" i="1"/>
  <c r="V23" i="1"/>
  <c r="V20" i="1"/>
  <c r="V10" i="1"/>
  <c r="R13" i="1"/>
  <c r="R11" i="1"/>
  <c r="Q11" i="1"/>
  <c r="R252" i="1"/>
  <c r="R235" i="1"/>
  <c r="R188" i="1"/>
  <c r="R171" i="1"/>
  <c r="Q25" i="1"/>
  <c r="R26" i="1"/>
  <c r="Q17" i="1"/>
  <c r="R18" i="1"/>
  <c r="R290" i="1"/>
  <c r="R274" i="1"/>
  <c r="R258" i="1"/>
  <c r="R194" i="1"/>
  <c r="R146" i="1"/>
  <c r="R114" i="1"/>
  <c r="R82" i="1"/>
  <c r="R50" i="1"/>
  <c r="Q33" i="1"/>
  <c r="R34" i="1"/>
  <c r="R211" i="1"/>
  <c r="Q302" i="1"/>
  <c r="R299" i="1"/>
  <c r="Q286" i="1"/>
  <c r="R283" i="1"/>
  <c r="Q270" i="1"/>
  <c r="R267" i="1"/>
  <c r="Q254" i="1"/>
  <c r="R244" i="1"/>
  <c r="R234" i="1"/>
  <c r="R227" i="1"/>
  <c r="Q200" i="1"/>
  <c r="Q190" i="1"/>
  <c r="R180" i="1"/>
  <c r="R170" i="1"/>
  <c r="R163" i="1"/>
  <c r="Q142" i="1"/>
  <c r="Q110" i="1"/>
  <c r="Q78" i="1"/>
  <c r="Q46" i="1"/>
  <c r="R250" i="1"/>
  <c r="R186" i="1"/>
  <c r="R179" i="1"/>
  <c r="R298" i="1"/>
  <c r="Q288" i="1"/>
  <c r="R282" i="1"/>
  <c r="Q272" i="1"/>
  <c r="R266" i="1"/>
  <c r="Q256" i="1"/>
  <c r="Q246" i="1"/>
  <c r="R226" i="1"/>
  <c r="R219" i="1"/>
  <c r="Q192" i="1"/>
  <c r="Q182" i="1"/>
  <c r="R162" i="1"/>
  <c r="Q155" i="1"/>
  <c r="Q144" i="1"/>
  <c r="R130" i="1"/>
  <c r="Q123" i="1"/>
  <c r="Q112" i="1"/>
  <c r="R98" i="1"/>
  <c r="Q91" i="1"/>
  <c r="Q80" i="1"/>
  <c r="R66" i="1"/>
  <c r="Q59" i="1"/>
  <c r="Q48" i="1"/>
  <c r="Q30" i="1"/>
  <c r="Q19" i="1"/>
  <c r="L14" i="1"/>
  <c r="M11" i="1"/>
  <c r="M282" i="1"/>
  <c r="M250" i="1"/>
  <c r="M218" i="1"/>
  <c r="M186" i="1"/>
  <c r="M154" i="1"/>
  <c r="M122" i="1"/>
  <c r="M90" i="1"/>
  <c r="M58" i="1"/>
  <c r="L296" i="1"/>
  <c r="L264" i="1"/>
  <c r="L232" i="1"/>
  <c r="L200" i="1"/>
  <c r="L168" i="1"/>
  <c r="L136" i="1"/>
  <c r="L104" i="1"/>
  <c r="L72" i="1"/>
  <c r="L40" i="1"/>
  <c r="L17" i="1"/>
  <c r="M18" i="1"/>
  <c r="M298" i="1"/>
  <c r="L294" i="1"/>
  <c r="L291" i="1"/>
  <c r="M266" i="1"/>
  <c r="L262" i="1"/>
  <c r="L259" i="1"/>
  <c r="M234" i="1"/>
  <c r="L230" i="1"/>
  <c r="L227" i="1"/>
  <c r="M202" i="1"/>
  <c r="L198" i="1"/>
  <c r="L195" i="1"/>
  <c r="M170" i="1"/>
  <c r="L166" i="1"/>
  <c r="L163" i="1"/>
  <c r="M138" i="1"/>
  <c r="L134" i="1"/>
  <c r="L131" i="1"/>
  <c r="M106" i="1"/>
  <c r="L102" i="1"/>
  <c r="L99" i="1"/>
  <c r="M74" i="1"/>
  <c r="L70" i="1"/>
  <c r="L67" i="1"/>
  <c r="M42" i="1"/>
  <c r="L38" i="1"/>
  <c r="L35" i="1"/>
  <c r="L286" i="1"/>
  <c r="L283" i="1"/>
  <c r="L254" i="1"/>
  <c r="L251" i="1"/>
  <c r="L222" i="1"/>
  <c r="L219" i="1"/>
  <c r="L190" i="1"/>
  <c r="L187" i="1"/>
  <c r="L158" i="1"/>
  <c r="L155" i="1"/>
  <c r="L126" i="1"/>
  <c r="L123" i="1"/>
  <c r="L94" i="1"/>
  <c r="L91" i="1"/>
  <c r="L30" i="1"/>
  <c r="L27" i="1"/>
  <c r="L25" i="1"/>
  <c r="M26" i="1"/>
  <c r="L80" i="1"/>
  <c r="L48" i="1"/>
  <c r="L22" i="1"/>
  <c r="L19" i="1"/>
  <c r="G239" i="1"/>
  <c r="G215" i="1"/>
  <c r="G47" i="1"/>
  <c r="G142" i="1"/>
  <c r="G238" i="1"/>
  <c r="G94" i="1"/>
  <c r="G70" i="1"/>
  <c r="G227" i="1"/>
  <c r="G179" i="1"/>
  <c r="G59" i="1"/>
  <c r="I27" i="4" l="1"/>
  <c r="J27" i="4" s="1"/>
  <c r="F13" i="3"/>
  <c r="E26" i="3" s="1"/>
  <c r="N13" i="3"/>
  <c r="P26" i="3" s="1"/>
  <c r="G14" i="3"/>
  <c r="E27" i="3" s="1"/>
  <c r="O14" i="3"/>
  <c r="P27" i="3" s="1"/>
  <c r="I26" i="3" l="1"/>
  <c r="J26" i="3" s="1"/>
  <c r="I27" i="3"/>
  <c r="J27" i="3" s="1"/>
</calcChain>
</file>

<file path=xl/sharedStrings.xml><?xml version="1.0" encoding="utf-8"?>
<sst xmlns="http://schemas.openxmlformats.org/spreadsheetml/2006/main" count="107" uniqueCount="35">
  <si>
    <t>Fecha</t>
  </si>
  <si>
    <t>Cotización</t>
  </si>
  <si>
    <t>Rendimiento</t>
  </si>
  <si>
    <t>Riesgo</t>
  </si>
  <si>
    <t>Promedio</t>
  </si>
  <si>
    <t>Liste las Acciones</t>
  </si>
  <si>
    <t>Seleccione la Cantidad de Acciones de su Cartera</t>
  </si>
  <si>
    <t>Rendimiento del Portafolio</t>
  </si>
  <si>
    <t>Mínimo Riesgo</t>
  </si>
  <si>
    <t>Cartera</t>
  </si>
  <si>
    <t>en la</t>
  </si>
  <si>
    <t>Rendimiento Promedio</t>
  </si>
  <si>
    <t>Porcentaje de Participación Máxima</t>
  </si>
  <si>
    <t>Fecha de Cartera</t>
  </si>
  <si>
    <t>Porcentaje de Participación Mínimo</t>
  </si>
  <si>
    <t>Rendimiento Mínimo Tolerable</t>
  </si>
  <si>
    <t>Cartera Actual</t>
  </si>
  <si>
    <t>Cartera Óptima Minimizando el riesgo</t>
  </si>
  <si>
    <t>Participación  en la cartera</t>
  </si>
  <si>
    <t>Rendimiento Actual  de la Cartera</t>
  </si>
  <si>
    <t>Rendimiento Óptimo de Cartera minimizando el Riesgo</t>
  </si>
  <si>
    <t>Diferencias</t>
  </si>
  <si>
    <t>Riesgo Máximo Tolerado</t>
  </si>
  <si>
    <t>Riesgo de la Cartera</t>
  </si>
  <si>
    <t>Rendimiento Máximo de la Cartera</t>
  </si>
  <si>
    <t>Rendimiento Óptimo de Cartera Max. el rendimiento</t>
  </si>
  <si>
    <t>Rendimiento de la Cartera</t>
  </si>
  <si>
    <t>Cartera Óptima Maximizando el Rendimiento</t>
  </si>
  <si>
    <t>Rendimiento de la cartera</t>
  </si>
  <si>
    <t>5</t>
  </si>
  <si>
    <t>Tenaris</t>
  </si>
  <si>
    <t>Galicia</t>
  </si>
  <si>
    <t>YPF</t>
  </si>
  <si>
    <t>Edenor</t>
  </si>
  <si>
    <t>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</si>
</sst>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 * #,##0.00_ ;_ * \-#,##0.00_ ;_ * &quot;-&quot;??_ ;_ @_ "/>
    <numFmt numFmtId="164" formatCode="0.000000"/>
    <numFmt numFmtId="165" formatCode="dd\-mm\-yy"/>
    <numFmt numFmtId="166" formatCode="0.0%"/>
    <numFmt numFmtId="167" formatCode="0.0000%"/>
    <numFmt numFmtId="168" formatCode="0.000"/>
    <numFmt numFmtId="169" formatCode="0.000%"/>
    <numFmt numFmtId="171" formatCode="_ * #,##0_ ;_ * \-#,##0_ ;_ * &quot;-&quot;??_ ;_ @_ "/>
    <numFmt numFmtId="172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10"/>
      <name val="Tahoma"/>
      <family val="2"/>
    </font>
    <font>
      <b/>
      <sz val="8"/>
      <color indexed="63"/>
      <name val="Tahoma"/>
      <family val="2"/>
    </font>
    <font>
      <b/>
      <sz val="8"/>
      <color theme="0"/>
      <name val="Tahoma"/>
      <family val="2"/>
    </font>
    <font>
      <sz val="11"/>
      <name val="Calibri"/>
      <family val="2"/>
      <scheme val="minor"/>
    </font>
    <font>
      <b/>
      <sz val="8"/>
      <color theme="5"/>
      <name val="Tahoma"/>
      <family val="2"/>
    </font>
    <font>
      <b/>
      <sz val="8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8"/>
      <color indexed="60"/>
      <name val="Calibri"/>
      <family val="2"/>
      <scheme val="minor"/>
    </font>
    <font>
      <sz val="10"/>
      <color indexed="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3"/>
      </left>
      <right/>
      <top style="medium">
        <color indexed="23"/>
      </top>
      <bottom style="thin">
        <color indexed="23"/>
      </bottom>
      <diagonal/>
    </border>
    <border>
      <left/>
      <right style="thin">
        <color indexed="23"/>
      </right>
      <top style="medium">
        <color indexed="23"/>
      </top>
      <bottom style="thin">
        <color indexed="23"/>
      </bottom>
      <diagonal/>
    </border>
    <border>
      <left style="thin">
        <color indexed="23"/>
      </left>
      <right style="medium">
        <color indexed="23"/>
      </right>
      <top style="medium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 style="medium">
        <color indexed="23"/>
      </bottom>
      <diagonal/>
    </border>
    <border>
      <left/>
      <right style="thin">
        <color indexed="23"/>
      </right>
      <top style="thin">
        <color indexed="23"/>
      </top>
      <bottom style="medium">
        <color indexed="23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  <border>
      <left/>
      <right/>
      <top style="thin">
        <color indexed="23"/>
      </top>
      <bottom style="double">
        <color theme="0" tint="-0.24994659260841701"/>
      </bottom>
      <diagonal/>
    </border>
    <border>
      <left/>
      <right style="double">
        <color theme="0" tint="-0.34998626667073579"/>
      </right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/>
      <top/>
      <bottom style="medium">
        <color indexed="23"/>
      </bottom>
      <diagonal/>
    </border>
    <border>
      <left/>
      <right style="double">
        <color theme="0" tint="-0.24994659260841701"/>
      </right>
      <top/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23"/>
      </left>
      <right style="double">
        <color indexed="23"/>
      </right>
      <top style="double">
        <color indexed="23"/>
      </top>
      <bottom style="thin">
        <color indexed="23"/>
      </bottom>
      <diagonal/>
    </border>
    <border>
      <left style="thin">
        <color indexed="23"/>
      </left>
      <right style="double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double">
        <color indexed="23"/>
      </right>
      <top style="thin">
        <color indexed="23"/>
      </top>
      <bottom style="double">
        <color indexed="23"/>
      </bottom>
      <diagonal/>
    </border>
    <border>
      <left/>
      <right/>
      <top/>
      <bottom style="double">
        <color indexed="23"/>
      </bottom>
      <diagonal/>
    </border>
    <border>
      <left style="double">
        <color indexed="23"/>
      </left>
      <right/>
      <top style="double">
        <color indexed="23"/>
      </top>
      <bottom style="thin">
        <color indexed="23"/>
      </bottom>
      <diagonal/>
    </border>
    <border>
      <left/>
      <right style="thin">
        <color indexed="23"/>
      </right>
      <top style="double">
        <color indexed="23"/>
      </top>
      <bottom style="thin">
        <color indexed="23"/>
      </bottom>
      <diagonal/>
    </border>
    <border>
      <left style="double">
        <color indexed="23"/>
      </left>
      <right/>
      <top style="thin">
        <color indexed="23"/>
      </top>
      <bottom style="double">
        <color indexed="23"/>
      </bottom>
      <diagonal/>
    </border>
    <border>
      <left/>
      <right style="thin">
        <color indexed="23"/>
      </right>
      <top style="thin">
        <color indexed="23"/>
      </top>
      <bottom style="double">
        <color indexed="23"/>
      </bottom>
      <diagonal/>
    </border>
    <border>
      <left style="double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double">
        <color indexed="23"/>
      </right>
      <top/>
      <bottom/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43" fontId="17" fillId="0" borderId="0" applyFont="0" applyFill="0" applyBorder="0" applyAlignment="0" applyProtection="0"/>
  </cellStyleXfs>
  <cellXfs count="101">
    <xf numFmtId="0" fontId="0" fillId="0" borderId="0" xfId="0"/>
    <xf numFmtId="0" fontId="4" fillId="0" borderId="0" xfId="0" applyFont="1" applyFill="1" applyBorder="1" applyProtection="1"/>
    <xf numFmtId="0" fontId="0" fillId="0" borderId="2" xfId="0" applyBorder="1"/>
    <xf numFmtId="0" fontId="1" fillId="5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0" fontId="0" fillId="0" borderId="0" xfId="0" applyNumberFormat="1"/>
    <xf numFmtId="0" fontId="3" fillId="0" borderId="0" xfId="0" applyFont="1"/>
    <xf numFmtId="0" fontId="7" fillId="0" borderId="0" xfId="0" applyFont="1"/>
    <xf numFmtId="0" fontId="7" fillId="0" borderId="6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64" fontId="5" fillId="5" borderId="2" xfId="0" applyNumberFormat="1" applyFont="1" applyFill="1" applyBorder="1" applyAlignment="1" applyProtection="1">
      <alignment horizontal="center"/>
    </xf>
    <xf numFmtId="0" fontId="0" fillId="0" borderId="0" xfId="0" applyFill="1" applyBorder="1"/>
    <xf numFmtId="0" fontId="5" fillId="0" borderId="0" xfId="0" applyFont="1" applyFill="1" applyBorder="1" applyAlignment="1" applyProtection="1">
      <alignment horizontal="center" vertical="center"/>
    </xf>
    <xf numFmtId="0" fontId="5" fillId="10" borderId="25" xfId="0" applyFont="1" applyFill="1" applyBorder="1" applyAlignment="1" applyProtection="1">
      <alignment vertical="center"/>
    </xf>
    <xf numFmtId="14" fontId="0" fillId="0" borderId="2" xfId="0" applyNumberFormat="1" applyBorder="1"/>
    <xf numFmtId="164" fontId="8" fillId="8" borderId="26" xfId="0" applyNumberFormat="1" applyFont="1" applyFill="1" applyBorder="1" applyAlignment="1" applyProtection="1">
      <alignment horizontal="center"/>
    </xf>
    <xf numFmtId="0" fontId="0" fillId="0" borderId="0" xfId="0" applyFont="1"/>
    <xf numFmtId="0" fontId="9" fillId="0" borderId="0" xfId="0" applyFont="1" applyFill="1" applyBorder="1" applyAlignment="1" applyProtection="1">
      <alignment horizontal="right" vertical="center"/>
    </xf>
    <xf numFmtId="169" fontId="9" fillId="0" borderId="0" xfId="0" applyNumberFormat="1" applyFont="1" applyFill="1" applyBorder="1" applyProtection="1"/>
    <xf numFmtId="0" fontId="9" fillId="0" borderId="0" xfId="0" applyFont="1" applyFill="1" applyBorder="1" applyAlignment="1" applyProtection="1">
      <alignment horizontal="center" vertical="center"/>
    </xf>
    <xf numFmtId="0" fontId="0" fillId="0" borderId="0" xfId="0" applyFont="1" applyFill="1" applyBorder="1" applyProtection="1"/>
    <xf numFmtId="0" fontId="0" fillId="0" borderId="0" xfId="0" applyFont="1" applyFill="1" applyProtection="1"/>
    <xf numFmtId="165" fontId="9" fillId="6" borderId="16" xfId="0" applyNumberFormat="1" applyFont="1" applyFill="1" applyBorder="1" applyAlignment="1" applyProtection="1">
      <alignment horizontal="center"/>
    </xf>
    <xf numFmtId="0" fontId="0" fillId="0" borderId="7" xfId="0" applyFont="1" applyFill="1" applyBorder="1" applyProtection="1"/>
    <xf numFmtId="0" fontId="0" fillId="0" borderId="8" xfId="0" applyFont="1" applyFill="1" applyBorder="1" applyProtection="1"/>
    <xf numFmtId="0" fontId="0" fillId="0" borderId="0" xfId="0" applyFont="1" applyBorder="1"/>
    <xf numFmtId="0" fontId="0" fillId="0" borderId="19" xfId="0" applyFont="1" applyFill="1" applyBorder="1" applyProtection="1"/>
    <xf numFmtId="0" fontId="0" fillId="0" borderId="20" xfId="0" applyFont="1" applyFill="1" applyBorder="1" applyProtection="1"/>
    <xf numFmtId="0" fontId="9" fillId="2" borderId="20" xfId="0" applyFont="1" applyFill="1" applyBorder="1" applyAlignment="1" applyProtection="1">
      <alignment horizontal="center" wrapText="1"/>
    </xf>
    <xf numFmtId="0" fontId="0" fillId="0" borderId="17" xfId="0" applyFont="1" applyFill="1" applyBorder="1" applyProtection="1"/>
    <xf numFmtId="0" fontId="0" fillId="0" borderId="21" xfId="0" applyFont="1" applyFill="1" applyBorder="1" applyProtection="1"/>
    <xf numFmtId="0" fontId="9" fillId="2" borderId="0" xfId="0" applyFont="1" applyFill="1" applyBorder="1" applyAlignment="1" applyProtection="1">
      <alignment horizontal="center"/>
    </xf>
    <xf numFmtId="0" fontId="0" fillId="0" borderId="18" xfId="0" applyFont="1" applyFill="1" applyBorder="1" applyProtection="1"/>
    <xf numFmtId="0" fontId="10" fillId="0" borderId="21" xfId="0" applyFont="1" applyFill="1" applyBorder="1" applyProtection="1"/>
    <xf numFmtId="0" fontId="11" fillId="9" borderId="9" xfId="0" applyFont="1" applyFill="1" applyBorder="1" applyAlignment="1" applyProtection="1">
      <alignment horizontal="center"/>
    </xf>
    <xf numFmtId="166" fontId="9" fillId="6" borderId="9" xfId="0" applyNumberFormat="1" applyFont="1" applyFill="1" applyBorder="1" applyProtection="1">
      <protection locked="0"/>
    </xf>
    <xf numFmtId="167" fontId="9" fillId="7" borderId="9" xfId="0" applyNumberFormat="1" applyFont="1" applyFill="1" applyBorder="1" applyProtection="1"/>
    <xf numFmtId="10" fontId="9" fillId="6" borderId="28" xfId="0" applyNumberFormat="1" applyFont="1" applyFill="1" applyBorder="1" applyProtection="1">
      <protection locked="0"/>
    </xf>
    <xf numFmtId="10" fontId="9" fillId="6" borderId="9" xfId="0" applyNumberFormat="1" applyFont="1" applyFill="1" applyBorder="1" applyProtection="1">
      <protection locked="0"/>
    </xf>
    <xf numFmtId="0" fontId="12" fillId="0" borderId="0" xfId="0" applyFont="1" applyFill="1" applyBorder="1" applyProtection="1"/>
    <xf numFmtId="0" fontId="11" fillId="9" borderId="13" xfId="0" applyFont="1" applyFill="1" applyBorder="1" applyAlignment="1" applyProtection="1">
      <alignment horizontal="center"/>
    </xf>
    <xf numFmtId="0" fontId="12" fillId="0" borderId="0" xfId="0" applyFont="1" applyFill="1" applyProtection="1"/>
    <xf numFmtId="0" fontId="10" fillId="0" borderId="22" xfId="0" applyFont="1" applyFill="1" applyBorder="1" applyProtection="1"/>
    <xf numFmtId="0" fontId="13" fillId="0" borderId="23" xfId="0" applyFont="1" applyFill="1" applyBorder="1" applyAlignment="1" applyProtection="1">
      <alignment horizontal="center"/>
    </xf>
    <xf numFmtId="168" fontId="13" fillId="0" borderId="23" xfId="0" applyNumberFormat="1" applyFont="1" applyFill="1" applyBorder="1" applyProtection="1"/>
    <xf numFmtId="167" fontId="13" fillId="0" borderId="23" xfId="0" applyNumberFormat="1" applyFont="1" applyFill="1" applyBorder="1" applyProtection="1"/>
    <xf numFmtId="10" fontId="13" fillId="0" borderId="30" xfId="0" applyNumberFormat="1" applyFont="1" applyFill="1" applyBorder="1" applyProtection="1"/>
    <xf numFmtId="2" fontId="13" fillId="0" borderId="0" xfId="0" applyNumberFormat="1" applyFont="1" applyFill="1" applyBorder="1" applyProtection="1"/>
    <xf numFmtId="10" fontId="13" fillId="0" borderId="23" xfId="0" applyNumberFormat="1" applyFont="1" applyFill="1" applyBorder="1" applyProtection="1"/>
    <xf numFmtId="2" fontId="13" fillId="0" borderId="23" xfId="0" applyNumberFormat="1" applyFont="1" applyFill="1" applyBorder="1" applyProtection="1"/>
    <xf numFmtId="0" fontId="0" fillId="0" borderId="24" xfId="0" applyFont="1" applyFill="1" applyBorder="1" applyProtection="1"/>
    <xf numFmtId="0" fontId="14" fillId="0" borderId="0" xfId="0" applyFont="1" applyFill="1" applyBorder="1" applyProtection="1"/>
    <xf numFmtId="0" fontId="13" fillId="0" borderId="0" xfId="0" applyFont="1" applyFill="1" applyBorder="1" applyAlignment="1" applyProtection="1">
      <alignment horizontal="center"/>
    </xf>
    <xf numFmtId="168" fontId="14" fillId="0" borderId="0" xfId="0" applyNumberFormat="1" applyFont="1" applyFill="1" applyBorder="1" applyProtection="1"/>
    <xf numFmtId="169" fontId="9" fillId="3" borderId="12" xfId="0" applyNumberFormat="1" applyFont="1" applyFill="1" applyBorder="1" applyProtection="1"/>
    <xf numFmtId="169" fontId="9" fillId="3" borderId="31" xfId="0" applyNumberFormat="1" applyFont="1" applyFill="1" applyBorder="1" applyProtection="1"/>
    <xf numFmtId="0" fontId="0" fillId="0" borderId="0" xfId="0" applyFont="1" applyAlignment="1">
      <alignment horizontal="center"/>
    </xf>
    <xf numFmtId="169" fontId="9" fillId="3" borderId="32" xfId="0" applyNumberFormat="1" applyFont="1" applyFill="1" applyBorder="1" applyProtection="1"/>
    <xf numFmtId="169" fontId="9" fillId="3" borderId="33" xfId="0" applyNumberFormat="1" applyFont="1" applyFill="1" applyBorder="1" applyProtection="1"/>
    <xf numFmtId="166" fontId="9" fillId="0" borderId="34" xfId="0" applyNumberFormat="1" applyFont="1" applyFill="1" applyBorder="1" applyAlignment="1" applyProtection="1">
      <alignment horizontal="right"/>
    </xf>
    <xf numFmtId="0" fontId="0" fillId="0" borderId="0" xfId="0" applyFont="1" applyAlignment="1"/>
    <xf numFmtId="0" fontId="9" fillId="0" borderId="0" xfId="0" applyFont="1" applyFill="1" applyBorder="1" applyAlignment="1" applyProtection="1">
      <alignment vertical="center"/>
    </xf>
    <xf numFmtId="0" fontId="0" fillId="0" borderId="0" xfId="0" applyFont="1" applyAlignment="1">
      <alignment horizontal="left"/>
    </xf>
    <xf numFmtId="0" fontId="0" fillId="0" borderId="41" xfId="0" applyFont="1" applyBorder="1" applyAlignment="1">
      <alignment horizontal="left"/>
    </xf>
    <xf numFmtId="0" fontId="16" fillId="0" borderId="0" xfId="0" applyFont="1" applyAlignment="1"/>
    <xf numFmtId="16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43" fontId="11" fillId="0" borderId="23" xfId="1" applyFont="1" applyFill="1" applyBorder="1" applyProtection="1"/>
    <xf numFmtId="0" fontId="0" fillId="0" borderId="0" xfId="0" applyAlignment="1">
      <alignment horizontal="center" vertical="center" wrapText="1"/>
    </xf>
    <xf numFmtId="0" fontId="6" fillId="4" borderId="3" xfId="0" applyFont="1" applyFill="1" applyBorder="1" applyAlignment="1" applyProtection="1">
      <alignment horizontal="center"/>
    </xf>
    <xf numFmtId="0" fontId="6" fillId="4" borderId="4" xfId="0" applyFont="1" applyFill="1" applyBorder="1" applyAlignment="1" applyProtection="1">
      <alignment horizontal="center"/>
    </xf>
    <xf numFmtId="0" fontId="5" fillId="5" borderId="2" xfId="0" applyFont="1" applyFill="1" applyBorder="1" applyAlignment="1" applyProtection="1">
      <alignment horizontal="center" vertical="center"/>
    </xf>
    <xf numFmtId="0" fontId="0" fillId="5" borderId="2" xfId="0" applyFill="1" applyBorder="1" applyProtection="1"/>
    <xf numFmtId="164" fontId="5" fillId="5" borderId="2" xfId="0" applyNumberFormat="1" applyFont="1" applyFill="1" applyBorder="1" applyAlignment="1" applyProtection="1">
      <alignment horizontal="center" vertical="center"/>
    </xf>
    <xf numFmtId="0" fontId="9" fillId="2" borderId="20" xfId="0" applyFont="1" applyFill="1" applyBorder="1" applyAlignment="1" applyProtection="1">
      <alignment horizontal="center" vertical="center" wrapText="1"/>
    </xf>
    <xf numFmtId="0" fontId="9" fillId="2" borderId="0" xfId="0" applyFont="1" applyFill="1" applyBorder="1" applyAlignment="1" applyProtection="1">
      <alignment horizontal="center" vertical="center" wrapText="1"/>
    </xf>
    <xf numFmtId="0" fontId="9" fillId="2" borderId="1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/>
    </xf>
    <xf numFmtId="0" fontId="0" fillId="10" borderId="3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9" fillId="0" borderId="36" xfId="0" applyFont="1" applyFill="1" applyBorder="1" applyAlignment="1" applyProtection="1">
      <alignment horizontal="center" vertical="center"/>
    </xf>
    <xf numFmtId="0" fontId="9" fillId="0" borderId="37" xfId="0" applyFont="1" applyFill="1" applyBorder="1" applyAlignment="1" applyProtection="1">
      <alignment horizontal="center" vertical="center"/>
    </xf>
    <xf numFmtId="0" fontId="9" fillId="0" borderId="38" xfId="0" applyFont="1" applyFill="1" applyBorder="1" applyAlignment="1" applyProtection="1">
      <alignment horizontal="center" vertical="center"/>
    </xf>
    <xf numFmtId="0" fontId="9" fillId="0" borderId="39" xfId="0" applyFont="1" applyFill="1" applyBorder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/>
    </xf>
    <xf numFmtId="0" fontId="9" fillId="0" borderId="40" xfId="0" applyFont="1" applyFill="1" applyBorder="1" applyAlignment="1" applyProtection="1">
      <alignment horizontal="center" vertical="center"/>
    </xf>
    <xf numFmtId="0" fontId="9" fillId="0" borderId="13" xfId="0" applyFont="1" applyFill="1" applyBorder="1" applyAlignment="1" applyProtection="1">
      <alignment horizontal="center" vertical="center"/>
    </xf>
    <xf numFmtId="0" fontId="9" fillId="0" borderId="10" xfId="0" applyFont="1" applyFill="1" applyBorder="1" applyAlignment="1" applyProtection="1">
      <alignment horizontal="right" vertical="center"/>
    </xf>
    <xf numFmtId="0" fontId="9" fillId="0" borderId="11" xfId="0" applyFont="1" applyFill="1" applyBorder="1" applyAlignment="1" applyProtection="1">
      <alignment horizontal="right" vertical="center"/>
    </xf>
    <xf numFmtId="0" fontId="9" fillId="0" borderId="14" xfId="0" applyFont="1" applyFill="1" applyBorder="1" applyAlignment="1" applyProtection="1">
      <alignment horizontal="right" vertical="center"/>
    </xf>
    <xf numFmtId="0" fontId="9" fillId="0" borderId="15" xfId="0" applyFont="1" applyFill="1" applyBorder="1" applyAlignment="1" applyProtection="1">
      <alignment horizontal="right" vertical="center"/>
    </xf>
    <xf numFmtId="0" fontId="0" fillId="10" borderId="27" xfId="0" applyFont="1" applyFill="1" applyBorder="1" applyAlignment="1">
      <alignment horizontal="center"/>
    </xf>
    <xf numFmtId="0" fontId="9" fillId="0" borderId="29" xfId="0" applyFont="1" applyFill="1" applyBorder="1" applyAlignment="1" applyProtection="1">
      <alignment horizontal="center" wrapText="1"/>
    </xf>
    <xf numFmtId="0" fontId="9" fillId="0" borderId="28" xfId="0" applyFont="1" applyFill="1" applyBorder="1" applyAlignment="1" applyProtection="1">
      <alignment horizontal="center" wrapText="1"/>
    </xf>
    <xf numFmtId="171" fontId="11" fillId="0" borderId="23" xfId="1" applyNumberFormat="1" applyFont="1" applyFill="1" applyBorder="1" applyProtection="1"/>
    <xf numFmtId="172" fontId="11" fillId="0" borderId="23" xfId="0" applyNumberFormat="1" applyFont="1" applyFill="1" applyBorder="1" applyProtection="1"/>
    <xf numFmtId="0" fontId="0" fillId="0" borderId="42" xfId="0" applyBorder="1"/>
    <xf numFmtId="0" fontId="0" fillId="0" borderId="42" xfId="0" applyFill="1" applyBorder="1"/>
    <xf numFmtId="0" fontId="0" fillId="0" borderId="42" xfId="0" applyFont="1" applyBorder="1"/>
  </cellXfs>
  <cellStyles count="2">
    <cellStyle name="Millares" xfId="1" builtinId="3"/>
    <cellStyle name="Normal" xfId="0" builtinId="0"/>
  </cellStyles>
  <dxfs count="32">
    <dxf>
      <font>
        <color theme="0"/>
      </font>
      <border>
        <left/>
        <right/>
        <top/>
        <bottom/>
        <vertical/>
        <horizontal/>
      </border>
    </dxf>
    <dxf>
      <font>
        <color theme="0" tint="-0.14996795556505021"/>
      </font>
    </dxf>
    <dxf>
      <font>
        <condense val="0"/>
        <extend val="0"/>
        <color indexed="42"/>
      </font>
    </dxf>
    <dxf>
      <font>
        <color theme="0" tint="-0.24994659260841701"/>
        <name val="Calibri Light"/>
        <scheme val="none"/>
      </font>
    </dxf>
    <dxf>
      <font>
        <condense val="0"/>
        <extend val="0"/>
        <color indexed="42"/>
      </font>
    </dxf>
    <dxf>
      <font>
        <condense val="0"/>
        <extend val="0"/>
        <color indexed="42"/>
      </font>
    </dxf>
    <dxf>
      <font>
        <color theme="0" tint="-0.24994659260841701"/>
        <name val="Calibri Light"/>
        <scheme val="none"/>
      </font>
    </dxf>
    <dxf>
      <font>
        <condense val="0"/>
        <extend val="0"/>
        <color indexed="42"/>
      </font>
    </dxf>
    <dxf>
      <font>
        <condense val="0"/>
        <extend val="0"/>
        <color indexed="42"/>
      </font>
    </dxf>
    <dxf>
      <font>
        <condense val="0"/>
        <extend val="0"/>
        <color indexed="42"/>
      </font>
    </dxf>
    <dxf>
      <font>
        <color theme="0" tint="-0.24994659260841701"/>
        <name val="Calibri Light"/>
        <scheme val="none"/>
      </font>
    </dxf>
    <dxf>
      <font>
        <condense val="0"/>
        <extend val="0"/>
        <color indexed="42"/>
      </font>
    </dxf>
    <dxf>
      <font>
        <condense val="0"/>
        <extend val="0"/>
        <color indexed="42"/>
      </font>
    </dxf>
    <dxf>
      <font>
        <condense val="0"/>
        <extend val="0"/>
        <color indexed="42"/>
      </font>
    </dxf>
    <dxf>
      <font>
        <color theme="0" tint="-0.24994659260841701"/>
        <name val="Calibri Light"/>
        <scheme val="none"/>
      </font>
    </dxf>
    <dxf>
      <font>
        <condense val="0"/>
        <extend val="0"/>
        <color indexed="42"/>
      </font>
    </dxf>
    <dxf>
      <font>
        <condense val="0"/>
        <extend val="0"/>
        <color indexed="42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  <dxf>
      <font>
        <color theme="0" tint="-0.14996795556505021"/>
        <name val="Calibri Light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planillaexcel.com/contactanos?ref=spreadsheet_contact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planillaexcel.com?ref=spreadsheet_logo" TargetMode="External"/><Relationship Id="rId4" Type="http://schemas.openxmlformats.org/officeDocument/2006/relationships/image" Target="file:///C:\Users\Cecilia\AppData\Roaming\Microsoft\Excel\XLSTART/header/envelope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planillaexcel.com/contactanos?ref=spreadsheet_contact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planillaexcel.com?ref=spreadsheet_logo" TargetMode="External"/><Relationship Id="rId4" Type="http://schemas.openxmlformats.org/officeDocument/2006/relationships/image" Target="file:///C:\Users\Cecilia\AppData\Roaming\Microsoft\Excel\XLSTART/header/envelope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planillaexcel.com/contactanos?ref=spreadsheet_contact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planillaexcel.com?ref=spreadsheet_logo" TargetMode="External"/><Relationship Id="rId4" Type="http://schemas.openxmlformats.org/officeDocument/2006/relationships/image" Target="file:///C:\Users\Cecilia\AppData\Roaming\Microsoft\Excel\XLSTART/header/envelope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://planillaexcel.com/contactanos?ref=spreadsheet_contact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planillaexcel.com?ref=spreadsheet_logo" TargetMode="External"/><Relationship Id="rId4" Type="http://schemas.openxmlformats.org/officeDocument/2006/relationships/image" Target="file:///C:\Users\Cecilia\AppData\Roaming\Microsoft\Excel\XLSTART/header/envelope.p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6</xdr:row>
          <xdr:rowOff>95250</xdr:rowOff>
        </xdr:from>
        <xdr:to>
          <xdr:col>2</xdr:col>
          <xdr:colOff>123825</xdr:colOff>
          <xdr:row>8</xdr:row>
          <xdr:rowOff>38100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152400</xdr:colOff>
      <xdr:row>0</xdr:row>
      <xdr:rowOff>114300</xdr:rowOff>
    </xdr:from>
    <xdr:to>
      <xdr:col>1</xdr:col>
      <xdr:colOff>981075</xdr:colOff>
      <xdr:row>0</xdr:row>
      <xdr:rowOff>266700</xdr:rowOff>
    </xdr:to>
    <xdr:pic>
      <xdr:nvPicPr>
        <xdr:cNvPr id="2" name="logo">
          <a:hlinkClick xmlns:r="http://schemas.openxmlformats.org/officeDocument/2006/relationships" r:id="rId1"/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955675</xdr:colOff>
      <xdr:row>0</xdr:row>
      <xdr:rowOff>104140</xdr:rowOff>
    </xdr:from>
    <xdr:to>
      <xdr:col>4</xdr:col>
      <xdr:colOff>701675</xdr:colOff>
      <xdr:row>0</xdr:row>
      <xdr:rowOff>358140</xdr:rowOff>
    </xdr:to>
    <xdr:sp macro="" textlink="">
      <xdr:nvSpPr>
        <xdr:cNvPr id="3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9</xdr:col>
      <xdr:colOff>66675</xdr:colOff>
      <xdr:row>0</xdr:row>
      <xdr:rowOff>101600</xdr:rowOff>
    </xdr:from>
    <xdr:to>
      <xdr:col>12</xdr:col>
      <xdr:colOff>701675</xdr:colOff>
      <xdr:row>0</xdr:row>
      <xdr:rowOff>355600</xdr:rowOff>
    </xdr:to>
    <xdr:sp macro="" textlink="">
      <xdr:nvSpPr>
        <xdr:cNvPr id="4" name="contactBox">
          <a:hlinkClick xmlns:r="http://schemas.openxmlformats.org/officeDocument/2006/relationships" r:id="rId3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12</xdr:col>
      <xdr:colOff>460375</xdr:colOff>
      <xdr:row>0</xdr:row>
      <xdr:rowOff>152400</xdr:rowOff>
    </xdr:from>
    <xdr:to>
      <xdr:col>12</xdr:col>
      <xdr:colOff>612775</xdr:colOff>
      <xdr:row>0</xdr:row>
      <xdr:rowOff>304800</xdr:rowOff>
    </xdr:to>
    <xdr:pic>
      <xdr:nvPicPr>
        <xdr:cNvPr id="5" name="mailIcon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0</xdr:row>
      <xdr:rowOff>114300</xdr:rowOff>
    </xdr:from>
    <xdr:to>
      <xdr:col>2</xdr:col>
      <xdr:colOff>647700</xdr:colOff>
      <xdr:row>0</xdr:row>
      <xdr:rowOff>266700</xdr:rowOff>
    </xdr:to>
    <xdr:pic>
      <xdr:nvPicPr>
        <xdr:cNvPr id="2" name="logo">
          <a:hlinkClick xmlns:r="http://schemas.openxmlformats.org/officeDocument/2006/relationships" r:id="rId1"/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2</xdr:col>
      <xdr:colOff>622300</xdr:colOff>
      <xdr:row>0</xdr:row>
      <xdr:rowOff>104140</xdr:rowOff>
    </xdr:from>
    <xdr:to>
      <xdr:col>7</xdr:col>
      <xdr:colOff>339725</xdr:colOff>
      <xdr:row>0</xdr:row>
      <xdr:rowOff>358140</xdr:rowOff>
    </xdr:to>
    <xdr:sp macro="" textlink="">
      <xdr:nvSpPr>
        <xdr:cNvPr id="3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11</xdr:col>
      <xdr:colOff>466725</xdr:colOff>
      <xdr:row>0</xdr:row>
      <xdr:rowOff>101600</xdr:rowOff>
    </xdr:from>
    <xdr:to>
      <xdr:col>15</xdr:col>
      <xdr:colOff>339725</xdr:colOff>
      <xdr:row>0</xdr:row>
      <xdr:rowOff>355600</xdr:rowOff>
    </xdr:to>
    <xdr:sp macro="" textlink="">
      <xdr:nvSpPr>
        <xdr:cNvPr id="4" name="contactBox">
          <a:hlinkClick xmlns:r="http://schemas.openxmlformats.org/officeDocument/2006/relationships" r:id="rId3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15</xdr:col>
      <xdr:colOff>98425</xdr:colOff>
      <xdr:row>0</xdr:row>
      <xdr:rowOff>152400</xdr:rowOff>
    </xdr:from>
    <xdr:to>
      <xdr:col>15</xdr:col>
      <xdr:colOff>250825</xdr:colOff>
      <xdr:row>0</xdr:row>
      <xdr:rowOff>304800</xdr:rowOff>
    </xdr:to>
    <xdr:pic>
      <xdr:nvPicPr>
        <xdr:cNvPr id="5" name="mailIcon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3</xdr:col>
      <xdr:colOff>228600</xdr:colOff>
      <xdr:row>1</xdr:row>
      <xdr:rowOff>0</xdr:rowOff>
    </xdr:from>
    <xdr:to>
      <xdr:col>7</xdr:col>
      <xdr:colOff>685800</xdr:colOff>
      <xdr:row>4</xdr:row>
      <xdr:rowOff>47625</xdr:rowOff>
    </xdr:to>
    <xdr:sp macro="" textlink="">
      <xdr:nvSpPr>
        <xdr:cNvPr id="6" name="CuadroTexto 5"/>
        <xdr:cNvSpPr txBox="1"/>
      </xdr:nvSpPr>
      <xdr:spPr>
        <a:xfrm>
          <a:off x="1638300" y="381000"/>
          <a:ext cx="315277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Ingrese la fecha y la cotización de cada acción.</a:t>
          </a:r>
        </a:p>
        <a:p>
          <a:r>
            <a:rPr lang="es-AR" sz="1100"/>
            <a:t>EL resto es automático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130172</xdr:colOff>
      <xdr:row>29</xdr:row>
      <xdr:rowOff>186265</xdr:rowOff>
    </xdr:from>
    <xdr:to>
      <xdr:col>13</xdr:col>
      <xdr:colOff>105832</xdr:colOff>
      <xdr:row>51</xdr:row>
      <xdr:rowOff>10584</xdr:rowOff>
    </xdr:to>
    <xdr:sp macro="" textlink="">
      <xdr:nvSpPr>
        <xdr:cNvPr id="5" name="CuadroTexto 4"/>
        <xdr:cNvSpPr txBox="1"/>
      </xdr:nvSpPr>
      <xdr:spPr>
        <a:xfrm>
          <a:off x="4257672" y="6007098"/>
          <a:ext cx="8283577" cy="40153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800"/>
            <a:t>Instrucciones</a:t>
          </a:r>
          <a:endParaRPr lang="es-AR" sz="1100"/>
        </a:p>
        <a:p>
          <a:endParaRPr lang="es-AR" sz="1100"/>
        </a:p>
        <a:p>
          <a:r>
            <a:rPr lang="es-AR" sz="1100"/>
            <a:t>1.-</a:t>
          </a:r>
          <a:r>
            <a:rPr lang="es-AR" sz="1100" baseline="0"/>
            <a:t> Ingrese la fecha cuando se armó la cartera o fecha en la cual se quiere evaluar el rendimiento en la celda </a:t>
          </a:r>
          <a:r>
            <a:rPr lang="es-AR" sz="1100" b="1" baseline="0"/>
            <a:t>D5</a:t>
          </a:r>
        </a:p>
        <a:p>
          <a:endParaRPr lang="es-AR" sz="1100" baseline="0"/>
        </a:p>
        <a:p>
          <a:r>
            <a:rPr lang="es-AR" sz="1100" baseline="0"/>
            <a:t>2.- Ingrese la participación actual de su cartera en la columna E y M. (Esta participación al sumarse debe dar 100%)</a:t>
          </a:r>
        </a:p>
        <a:p>
          <a:endParaRPr lang="es-AR" sz="1100" baseline="0"/>
        </a:p>
        <a:p>
          <a:r>
            <a:rPr lang="es-AR" sz="1100" baseline="0"/>
            <a:t>3.- </a:t>
          </a:r>
          <a:r>
            <a:rPr lang="es-A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.- Ingrese el porcentaje mínimo (que debe ser MENOR que el actual)  y máximo (que debe ser MAYOR que el actual) que podría tener de cada acción en columna P y Q.</a:t>
          </a:r>
          <a:endParaRPr lang="es-AR">
            <a:effectLst/>
          </a:endParaRPr>
        </a:p>
        <a:p>
          <a:endParaRPr lang="es-AR" sz="1100" baseline="0"/>
        </a:p>
        <a:p>
          <a:r>
            <a:rPr lang="es-AR" sz="1100" baseline="0"/>
            <a:t>4.-En la celda P26 establezca el rendimiento mínimo a tolerar que debe SER MENOR al rendimiento ACTUAL (es decir </a:t>
          </a:r>
          <a:r>
            <a:rPr lang="es-AR" sz="1100" baseline="0">
              <a:solidFill>
                <a:sysClr val="windowText" lastClr="000000"/>
              </a:solidFill>
            </a:rPr>
            <a:t>P26 menor a P24)</a:t>
          </a:r>
        </a:p>
        <a:p>
          <a:endParaRPr lang="es-AR" sz="1100" baseline="0"/>
        </a:p>
        <a:p>
          <a:r>
            <a:rPr lang="es-AR" sz="1100" baseline="0"/>
            <a:t>5-  En la Pestaña "Desarrollador" , elija complementos y clickee en Solver, así aparece esa opción.  Luego en pestaña Datos, aparece "Solver".  Hacer Click ahí y elegir "Resolver".</a:t>
          </a:r>
        </a:p>
        <a:p>
          <a:endParaRPr lang="es-AR" sz="1100" baseline="0"/>
        </a:p>
        <a:p>
          <a:r>
            <a:rPr lang="es-AR" sz="1100" baseline="0"/>
            <a:t>6.- Aparece el nuevo % de participación que debe tener cada acción (M9 a M19).  </a:t>
          </a:r>
        </a:p>
        <a:p>
          <a:endParaRPr lang="es-AR" sz="1100" baseline="0"/>
        </a:p>
        <a:p>
          <a:r>
            <a:rPr lang="es-AR" sz="1100" baseline="0"/>
            <a:t>Ese resultado se interpreta </a:t>
          </a:r>
        </a:p>
        <a:p>
          <a:endParaRPr lang="es-AR" sz="1100" baseline="0"/>
        </a:p>
        <a:p>
          <a:r>
            <a:rPr lang="es-AR" sz="1100" baseline="0"/>
            <a:t>Para minimizar el riesgo de mi cartera, debo tener los porcentajes de cada accion que surge de las Celdas M9 a M19</a:t>
          </a:r>
        </a:p>
        <a:p>
          <a:endParaRPr lang="es-AR" sz="1100" baseline="0"/>
        </a:p>
        <a:p>
          <a:endParaRPr lang="es-AR" sz="1100" baseline="0"/>
        </a:p>
        <a:p>
          <a:endParaRPr lang="es-AR" sz="1100" baseline="0"/>
        </a:p>
        <a:p>
          <a:endParaRPr lang="es-AR" sz="1100"/>
        </a:p>
      </xdr:txBody>
    </xdr:sp>
    <xdr:clientData/>
  </xdr:twoCellAnchor>
  <xdr:twoCellAnchor editAs="absolute">
    <xdr:from>
      <xdr:col>1</xdr:col>
      <xdr:colOff>28575</xdr:colOff>
      <xdr:row>0</xdr:row>
      <xdr:rowOff>114300</xdr:rowOff>
    </xdr:from>
    <xdr:to>
      <xdr:col>2</xdr:col>
      <xdr:colOff>123825</xdr:colOff>
      <xdr:row>0</xdr:row>
      <xdr:rowOff>266700</xdr:rowOff>
    </xdr:to>
    <xdr:pic>
      <xdr:nvPicPr>
        <xdr:cNvPr id="2" name="logo">
          <a:hlinkClick xmlns:r="http://schemas.openxmlformats.org/officeDocument/2006/relationships" r:id="rId1"/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2</xdr:col>
      <xdr:colOff>98425</xdr:colOff>
      <xdr:row>0</xdr:row>
      <xdr:rowOff>104140</xdr:rowOff>
    </xdr:from>
    <xdr:to>
      <xdr:col>5</xdr:col>
      <xdr:colOff>330200</xdr:colOff>
      <xdr:row>0</xdr:row>
      <xdr:rowOff>358140</xdr:rowOff>
    </xdr:to>
    <xdr:sp macro="" textlink="">
      <xdr:nvSpPr>
        <xdr:cNvPr id="3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8</xdr:col>
      <xdr:colOff>704850</xdr:colOff>
      <xdr:row>0</xdr:row>
      <xdr:rowOff>101600</xdr:rowOff>
    </xdr:from>
    <xdr:to>
      <xdr:col>11</xdr:col>
      <xdr:colOff>587375</xdr:colOff>
      <xdr:row>0</xdr:row>
      <xdr:rowOff>355600</xdr:rowOff>
    </xdr:to>
    <xdr:sp macro="" textlink="">
      <xdr:nvSpPr>
        <xdr:cNvPr id="4" name="contactBox">
          <a:hlinkClick xmlns:r="http://schemas.openxmlformats.org/officeDocument/2006/relationships" r:id="rId3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11</xdr:col>
      <xdr:colOff>346075</xdr:colOff>
      <xdr:row>0</xdr:row>
      <xdr:rowOff>152400</xdr:rowOff>
    </xdr:from>
    <xdr:to>
      <xdr:col>11</xdr:col>
      <xdr:colOff>498475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116416</xdr:colOff>
      <xdr:row>29</xdr:row>
      <xdr:rowOff>127000</xdr:rowOff>
    </xdr:from>
    <xdr:to>
      <xdr:col>13</xdr:col>
      <xdr:colOff>10582</xdr:colOff>
      <xdr:row>51</xdr:row>
      <xdr:rowOff>10584</xdr:rowOff>
    </xdr:to>
    <xdr:sp macro="" textlink="">
      <xdr:nvSpPr>
        <xdr:cNvPr id="3" name="CuadroTexto 2"/>
        <xdr:cNvSpPr txBox="1"/>
      </xdr:nvSpPr>
      <xdr:spPr>
        <a:xfrm>
          <a:off x="4243916" y="5947833"/>
          <a:ext cx="8202083" cy="40745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800"/>
            <a:t>Instrucciones</a:t>
          </a:r>
          <a:endParaRPr lang="es-AR" sz="1100"/>
        </a:p>
        <a:p>
          <a:endParaRPr lang="es-AR" sz="1100"/>
        </a:p>
        <a:p>
          <a:r>
            <a:rPr lang="es-AR" sz="1100"/>
            <a:t>1.-</a:t>
          </a:r>
          <a:r>
            <a:rPr lang="es-AR" sz="1100" baseline="0"/>
            <a:t> Ingrese la fecha cuando se armó la cartera o fecha en la cual se quiere evaluar el rendimiento en la celda </a:t>
          </a:r>
          <a:r>
            <a:rPr lang="es-AR" sz="1100" b="1" baseline="0"/>
            <a:t>D5</a:t>
          </a:r>
        </a:p>
        <a:p>
          <a:endParaRPr lang="es-AR" sz="1100" baseline="0"/>
        </a:p>
        <a:p>
          <a:r>
            <a:rPr lang="es-AR" sz="1100" baseline="0"/>
            <a:t>2.- Ingrese la participación actual de su cartera en la columna E y M. (Esta participación al sumarse debe dar 100%)</a:t>
          </a:r>
        </a:p>
        <a:p>
          <a:endParaRPr lang="es-AR" sz="1100" baseline="0"/>
        </a:p>
        <a:p>
          <a:r>
            <a:rPr lang="es-AR" sz="1100" baseline="0"/>
            <a:t>3.- Ingrese el porcentaje mínimo (que debe ser MENOR que el actual)  y máximo (que debe ser MAYOR que el actual) que podría tener de cada acción en columna P y Q.</a:t>
          </a:r>
        </a:p>
        <a:p>
          <a:endParaRPr lang="es-AR" sz="1100" baseline="0"/>
        </a:p>
        <a:p>
          <a:r>
            <a:rPr lang="es-AR" sz="1100" baseline="0"/>
            <a:t>4.-En la celda P26 establezca el RIESGO MAXIMO a tolerar que debe SER MAYOR O IGUAL al rendimiento ACTUAL (es decir </a:t>
          </a:r>
          <a:r>
            <a:rPr lang="es-AR" sz="1100" baseline="0">
              <a:solidFill>
                <a:sysClr val="windowText" lastClr="000000"/>
              </a:solidFill>
            </a:rPr>
            <a:t>P26 mayor igual P25)</a:t>
          </a:r>
        </a:p>
        <a:p>
          <a:endParaRPr lang="es-AR" sz="1100" baseline="0"/>
        </a:p>
        <a:p>
          <a:r>
            <a:rPr lang="es-AR" sz="1100" baseline="0"/>
            <a:t>5-  En la Pestaña "Desarrollador" , elija complementos y clickee en Solver, así aparece esa opción.  Luego en pestaña Datos, aparece "Solver".  Hacer Click ahí y elegir "Resolver".</a:t>
          </a:r>
        </a:p>
        <a:p>
          <a:endParaRPr lang="es-AR" sz="1100" baseline="0"/>
        </a:p>
        <a:p>
          <a:r>
            <a:rPr lang="es-AR" sz="1100" baseline="0"/>
            <a:t>6.- Aparece el nuevo % de participación que debe tener cada acción (M9 a M19).  </a:t>
          </a:r>
        </a:p>
        <a:p>
          <a:endParaRPr lang="es-AR" sz="1100" baseline="0"/>
        </a:p>
        <a:p>
          <a:r>
            <a:rPr lang="es-AR" sz="1100" baseline="0"/>
            <a:t>Ese resultado se interpreta </a:t>
          </a:r>
        </a:p>
        <a:p>
          <a:endParaRPr lang="es-AR" sz="1100" baseline="0"/>
        </a:p>
        <a:p>
          <a:r>
            <a:rPr lang="es-AR" sz="1100" baseline="0"/>
            <a:t>Para maximizar el rendimiento de mi cartera, debo tener los porcentajes de cada accion que surge de las Celdas M9 a M19</a:t>
          </a:r>
        </a:p>
        <a:p>
          <a:endParaRPr lang="es-AR" sz="1100" baseline="0"/>
        </a:p>
        <a:p>
          <a:endParaRPr lang="es-AR" sz="1100" baseline="0"/>
        </a:p>
        <a:p>
          <a:endParaRPr lang="es-AR" sz="1100" baseline="0"/>
        </a:p>
        <a:p>
          <a:endParaRPr lang="es-AR" sz="1100"/>
        </a:p>
      </xdr:txBody>
    </xdr:sp>
    <xdr:clientData/>
  </xdr:twoCellAnchor>
  <xdr:twoCellAnchor editAs="absolute">
    <xdr:from>
      <xdr:col>1</xdr:col>
      <xdr:colOff>28575</xdr:colOff>
      <xdr:row>0</xdr:row>
      <xdr:rowOff>114300</xdr:rowOff>
    </xdr:from>
    <xdr:to>
      <xdr:col>2</xdr:col>
      <xdr:colOff>123825</xdr:colOff>
      <xdr:row>0</xdr:row>
      <xdr:rowOff>266700</xdr:rowOff>
    </xdr:to>
    <xdr:pic>
      <xdr:nvPicPr>
        <xdr:cNvPr id="4" name="logo">
          <a:hlinkClick xmlns:r="http://schemas.openxmlformats.org/officeDocument/2006/relationships" r:id="rId1"/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2</xdr:col>
      <xdr:colOff>98425</xdr:colOff>
      <xdr:row>0</xdr:row>
      <xdr:rowOff>104140</xdr:rowOff>
    </xdr:from>
    <xdr:to>
      <xdr:col>5</xdr:col>
      <xdr:colOff>330200</xdr:colOff>
      <xdr:row>0</xdr:row>
      <xdr:rowOff>358140</xdr:rowOff>
    </xdr:to>
    <xdr:sp macro="" textlink="">
      <xdr:nvSpPr>
        <xdr:cNvPr id="5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8</xdr:col>
      <xdr:colOff>704850</xdr:colOff>
      <xdr:row>0</xdr:row>
      <xdr:rowOff>101600</xdr:rowOff>
    </xdr:from>
    <xdr:to>
      <xdr:col>11</xdr:col>
      <xdr:colOff>587375</xdr:colOff>
      <xdr:row>0</xdr:row>
      <xdr:rowOff>355600</xdr:rowOff>
    </xdr:to>
    <xdr:sp macro="" textlink="">
      <xdr:nvSpPr>
        <xdr:cNvPr id="6" name="contactBox">
          <a:hlinkClick xmlns:r="http://schemas.openxmlformats.org/officeDocument/2006/relationships" r:id="rId3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11</xdr:col>
      <xdr:colOff>346075</xdr:colOff>
      <xdr:row>0</xdr:row>
      <xdr:rowOff>152400</xdr:rowOff>
    </xdr:from>
    <xdr:to>
      <xdr:col>11</xdr:col>
      <xdr:colOff>498475</xdr:colOff>
      <xdr:row>0</xdr:row>
      <xdr:rowOff>304800</xdr:rowOff>
    </xdr:to>
    <xdr:pic>
      <xdr:nvPicPr>
        <xdr:cNvPr id="7" name="mailIcon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M31"/>
  <sheetViews>
    <sheetView showGridLines="0" tabSelected="1" workbookViewId="0">
      <selection activeCell="D15" sqref="D15"/>
    </sheetView>
  </sheetViews>
  <sheetFormatPr baseColWidth="10" defaultRowHeight="15" x14ac:dyDescent="0.25"/>
  <cols>
    <col min="1" max="1" width="4.7109375" customWidth="1"/>
    <col min="2" max="2" width="20" bestFit="1" customWidth="1"/>
    <col min="4" max="4" width="20" bestFit="1" customWidth="1"/>
  </cols>
  <sheetData>
    <row r="1" spans="2:13" s="98" customFormat="1" ht="30" customHeight="1" x14ac:dyDescent="0.25"/>
    <row r="2" spans="2:13" ht="15" customHeight="1" x14ac:dyDescent="0.25"/>
    <row r="4" spans="2:13" x14ac:dyDescent="0.25">
      <c r="M4" s="6">
        <v>1</v>
      </c>
    </row>
    <row r="5" spans="2:13" x14ac:dyDescent="0.25">
      <c r="B5" s="70" t="s">
        <v>6</v>
      </c>
      <c r="D5" s="3" t="s">
        <v>5</v>
      </c>
      <c r="M5" s="6">
        <v>2</v>
      </c>
    </row>
    <row r="6" spans="2:13" x14ac:dyDescent="0.25">
      <c r="B6" s="70"/>
      <c r="D6" s="4" t="s">
        <v>30</v>
      </c>
      <c r="M6" s="6">
        <v>3</v>
      </c>
    </row>
    <row r="7" spans="2:13" x14ac:dyDescent="0.25">
      <c r="D7" s="4" t="s">
        <v>31</v>
      </c>
      <c r="M7" s="6">
        <v>4</v>
      </c>
    </row>
    <row r="8" spans="2:13" x14ac:dyDescent="0.25">
      <c r="B8" s="5" t="s">
        <v>29</v>
      </c>
      <c r="D8" s="4" t="s">
        <v>32</v>
      </c>
      <c r="M8" s="6">
        <v>5</v>
      </c>
    </row>
    <row r="9" spans="2:13" x14ac:dyDescent="0.25">
      <c r="D9" s="4" t="s">
        <v>33</v>
      </c>
      <c r="M9" s="6">
        <v>6</v>
      </c>
    </row>
    <row r="10" spans="2:13" x14ac:dyDescent="0.25">
      <c r="D10" s="4" t="s">
        <v>34</v>
      </c>
      <c r="M10" s="6">
        <v>7</v>
      </c>
    </row>
    <row r="11" spans="2:13" x14ac:dyDescent="0.25">
      <c r="D11" s="4">
        <v>6</v>
      </c>
      <c r="M11" s="6">
        <v>8</v>
      </c>
    </row>
    <row r="12" spans="2:13" x14ac:dyDescent="0.25">
      <c r="D12" s="4">
        <v>7</v>
      </c>
      <c r="M12" s="6">
        <v>9</v>
      </c>
    </row>
    <row r="13" spans="2:13" x14ac:dyDescent="0.25">
      <c r="D13" s="4">
        <v>8</v>
      </c>
      <c r="M13" s="6">
        <v>10</v>
      </c>
    </row>
    <row r="14" spans="2:13" x14ac:dyDescent="0.25">
      <c r="D14" s="4">
        <v>9</v>
      </c>
      <c r="M14" s="6"/>
    </row>
    <row r="15" spans="2:13" x14ac:dyDescent="0.25">
      <c r="D15" s="8">
        <v>10</v>
      </c>
      <c r="M15" s="6"/>
    </row>
    <row r="16" spans="2:13" x14ac:dyDescent="0.25">
      <c r="D16" s="9"/>
      <c r="M16" s="7"/>
    </row>
    <row r="17" spans="4:13" x14ac:dyDescent="0.25">
      <c r="D17" s="9"/>
      <c r="M17" s="7"/>
    </row>
    <row r="18" spans="4:13" x14ac:dyDescent="0.25">
      <c r="D18" s="9"/>
      <c r="M18" s="7"/>
    </row>
    <row r="19" spans="4:13" x14ac:dyDescent="0.25">
      <c r="D19" s="9"/>
      <c r="M19" s="7"/>
    </row>
    <row r="20" spans="4:13" x14ac:dyDescent="0.25">
      <c r="D20" s="9"/>
      <c r="M20" s="7"/>
    </row>
    <row r="21" spans="4:13" x14ac:dyDescent="0.25">
      <c r="D21" s="9"/>
      <c r="M21" s="7"/>
    </row>
    <row r="22" spans="4:13" x14ac:dyDescent="0.25">
      <c r="D22" s="9"/>
      <c r="M22" s="7"/>
    </row>
    <row r="23" spans="4:13" x14ac:dyDescent="0.25">
      <c r="D23" s="9"/>
      <c r="M23" s="6"/>
    </row>
    <row r="24" spans="4:13" x14ac:dyDescent="0.25">
      <c r="D24" s="9"/>
    </row>
    <row r="25" spans="4:13" x14ac:dyDescent="0.25">
      <c r="D25" s="9"/>
    </row>
    <row r="26" spans="4:13" x14ac:dyDescent="0.25">
      <c r="D26" s="9"/>
    </row>
    <row r="27" spans="4:13" x14ac:dyDescent="0.25">
      <c r="D27" s="9"/>
    </row>
    <row r="28" spans="4:13" x14ac:dyDescent="0.25">
      <c r="D28" s="9"/>
    </row>
    <row r="29" spans="4:13" x14ac:dyDescent="0.25">
      <c r="D29" s="9"/>
    </row>
    <row r="30" spans="4:13" x14ac:dyDescent="0.25">
      <c r="D30" s="9"/>
    </row>
    <row r="31" spans="4:13" x14ac:dyDescent="0.25">
      <c r="D31" s="9"/>
    </row>
  </sheetData>
  <mergeCells count="1">
    <mergeCell ref="B5:B6"/>
  </mergeCells>
  <conditionalFormatting sqref="D6:D31">
    <cfRule type="expression" dxfId="0" priority="1">
      <formula>(ROW()-6)&gt;=VALUE($B$8)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boBox1">
          <controlPr defaultSize="0" autoLine="0" linkedCell="B8" listFillRange="M4:M13" r:id="rId4">
            <anchor moveWithCells="1">
              <from>
                <xdr:col>0</xdr:col>
                <xdr:colOff>247650</xdr:colOff>
                <xdr:row>6</xdr:row>
                <xdr:rowOff>95250</xdr:rowOff>
              </from>
              <to>
                <xdr:col>2</xdr:col>
                <xdr:colOff>123825</xdr:colOff>
                <xdr:row>8</xdr:row>
                <xdr:rowOff>38100</xdr:rowOff>
              </to>
            </anchor>
          </controlPr>
        </control>
      </mc:Choice>
      <mc:Fallback>
        <control shapeId="2049" r:id="rId3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N304"/>
  <sheetViews>
    <sheetView showGridLines="0" workbookViewId="0">
      <pane xSplit="3" ySplit="8" topLeftCell="D9" activePane="bottomRight" state="frozen"/>
      <selection pane="topRight" activeCell="D1" sqref="D1"/>
      <selection pane="bottomLeft" activeCell="A7" sqref="A7"/>
      <selection pane="bottomRight" activeCell="J4" sqref="J4"/>
    </sheetView>
  </sheetViews>
  <sheetFormatPr baseColWidth="10" defaultRowHeight="15" x14ac:dyDescent="0.25"/>
  <cols>
    <col min="1" max="1" width="3.28515625" customWidth="1"/>
    <col min="2" max="2" width="6.42578125" customWidth="1"/>
    <col min="4" max="4" width="6.140625" style="11" customWidth="1"/>
    <col min="5" max="28" width="11.42578125" customWidth="1"/>
    <col min="29" max="300" width="11.42578125" hidden="1" customWidth="1"/>
  </cols>
  <sheetData>
    <row r="1" spans="2:53" s="98" customFormat="1" ht="30" customHeight="1" x14ac:dyDescent="0.25">
      <c r="D1" s="99"/>
    </row>
    <row r="2" spans="2:53" ht="15" customHeight="1" x14ac:dyDescent="0.25"/>
    <row r="5" spans="2:53" x14ac:dyDescent="0.25">
      <c r="D5"/>
    </row>
    <row r="6" spans="2:53" x14ac:dyDescent="0.25">
      <c r="B6" s="1"/>
      <c r="E6" s="71" t="str">
        <f>'Cantidad de Acciones'!D6</f>
        <v>Tenaris</v>
      </c>
      <c r="F6" s="71"/>
      <c r="G6" s="71"/>
      <c r="H6" s="72"/>
      <c r="J6" s="71" t="str">
        <f>'Cantidad de Acciones'!D7</f>
        <v>Galicia</v>
      </c>
      <c r="K6" s="71"/>
      <c r="L6" s="71"/>
      <c r="M6" s="72"/>
      <c r="O6" s="71" t="str">
        <f>'Cantidad de Acciones'!D8</f>
        <v>YPF</v>
      </c>
      <c r="P6" s="71"/>
      <c r="Q6" s="71"/>
      <c r="R6" s="72"/>
      <c r="T6" s="71" t="str">
        <f>'Cantidad de Acciones'!D9</f>
        <v>Edenor</v>
      </c>
      <c r="U6" s="71"/>
      <c r="V6" s="71"/>
      <c r="W6" s="72"/>
      <c r="Y6" s="71" t="str">
        <f>'Cantidad de Acciones'!D10</f>
        <v>PESA</v>
      </c>
      <c r="Z6" s="71"/>
      <c r="AA6" s="71"/>
      <c r="AB6" s="72"/>
      <c r="AD6" s="71">
        <f>'Cantidad de Acciones'!D11</f>
        <v>6</v>
      </c>
      <c r="AE6" s="71"/>
      <c r="AF6" s="71"/>
      <c r="AG6" s="72"/>
      <c r="AI6" s="71">
        <f>'Cantidad de Acciones'!D12</f>
        <v>7</v>
      </c>
      <c r="AJ6" s="71"/>
      <c r="AK6" s="71"/>
      <c r="AL6" s="72"/>
      <c r="AN6" s="71">
        <f>'Cantidad de Acciones'!D13</f>
        <v>8</v>
      </c>
      <c r="AO6" s="71"/>
      <c r="AP6" s="71"/>
      <c r="AQ6" s="72"/>
      <c r="AS6" s="71">
        <f>'Cantidad de Acciones'!D14</f>
        <v>9</v>
      </c>
      <c r="AT6" s="71"/>
      <c r="AU6" s="71"/>
      <c r="AV6" s="72"/>
      <c r="AX6" s="71">
        <f>'Cantidad de Acciones'!D15</f>
        <v>10</v>
      </c>
      <c r="AY6" s="71"/>
      <c r="AZ6" s="71"/>
      <c r="BA6" s="72"/>
    </row>
    <row r="7" spans="2:53" x14ac:dyDescent="0.25">
      <c r="D7" s="12"/>
      <c r="E7" s="73" t="s">
        <v>1</v>
      </c>
      <c r="F7" s="75" t="s">
        <v>2</v>
      </c>
      <c r="G7" s="10" t="s">
        <v>2</v>
      </c>
      <c r="H7" s="75" t="s">
        <v>3</v>
      </c>
      <c r="J7" s="73" t="s">
        <v>1</v>
      </c>
      <c r="K7" s="75" t="s">
        <v>2</v>
      </c>
      <c r="L7" s="10" t="s">
        <v>2</v>
      </c>
      <c r="M7" s="75" t="s">
        <v>3</v>
      </c>
      <c r="O7" s="73" t="s">
        <v>1</v>
      </c>
      <c r="P7" s="75" t="s">
        <v>2</v>
      </c>
      <c r="Q7" s="10" t="s">
        <v>2</v>
      </c>
      <c r="R7" s="75" t="s">
        <v>3</v>
      </c>
      <c r="T7" s="73" t="s">
        <v>1</v>
      </c>
      <c r="U7" s="75" t="s">
        <v>2</v>
      </c>
      <c r="V7" s="10" t="s">
        <v>2</v>
      </c>
      <c r="W7" s="75" t="s">
        <v>3</v>
      </c>
      <c r="Y7" s="73" t="s">
        <v>1</v>
      </c>
      <c r="Z7" s="75" t="s">
        <v>2</v>
      </c>
      <c r="AA7" s="10" t="s">
        <v>2</v>
      </c>
      <c r="AB7" s="75" t="s">
        <v>3</v>
      </c>
      <c r="AD7" s="73" t="s">
        <v>1</v>
      </c>
      <c r="AE7" s="75" t="s">
        <v>2</v>
      </c>
      <c r="AF7" s="10" t="s">
        <v>2</v>
      </c>
      <c r="AG7" s="75" t="s">
        <v>3</v>
      </c>
      <c r="AI7" s="73" t="s">
        <v>1</v>
      </c>
      <c r="AJ7" s="75" t="s">
        <v>2</v>
      </c>
      <c r="AK7" s="10" t="s">
        <v>2</v>
      </c>
      <c r="AL7" s="75" t="s">
        <v>3</v>
      </c>
      <c r="AN7" s="73" t="s">
        <v>1</v>
      </c>
      <c r="AO7" s="75" t="s">
        <v>2</v>
      </c>
      <c r="AP7" s="10" t="s">
        <v>2</v>
      </c>
      <c r="AQ7" s="75" t="s">
        <v>3</v>
      </c>
      <c r="AS7" s="73" t="s">
        <v>1</v>
      </c>
      <c r="AT7" s="75" t="s">
        <v>2</v>
      </c>
      <c r="AU7" s="10" t="s">
        <v>2</v>
      </c>
      <c r="AV7" s="75" t="s">
        <v>3</v>
      </c>
      <c r="AX7" s="73" t="s">
        <v>1</v>
      </c>
      <c r="AY7" s="75" t="s">
        <v>2</v>
      </c>
      <c r="AZ7" s="10" t="s">
        <v>2</v>
      </c>
      <c r="BA7" s="75" t="s">
        <v>3</v>
      </c>
    </row>
    <row r="8" spans="2:53" x14ac:dyDescent="0.25">
      <c r="C8" s="13" t="s">
        <v>0</v>
      </c>
      <c r="D8" s="12"/>
      <c r="E8" s="74"/>
      <c r="F8" s="75"/>
      <c r="G8" s="10" t="s">
        <v>4</v>
      </c>
      <c r="H8" s="75"/>
      <c r="J8" s="74"/>
      <c r="K8" s="75"/>
      <c r="L8" s="10" t="s">
        <v>4</v>
      </c>
      <c r="M8" s="75"/>
      <c r="O8" s="74"/>
      <c r="P8" s="75"/>
      <c r="Q8" s="10" t="s">
        <v>4</v>
      </c>
      <c r="R8" s="75"/>
      <c r="T8" s="74"/>
      <c r="U8" s="75"/>
      <c r="V8" s="10" t="s">
        <v>4</v>
      </c>
      <c r="W8" s="75"/>
      <c r="Y8" s="74"/>
      <c r="Z8" s="75"/>
      <c r="AA8" s="10" t="s">
        <v>4</v>
      </c>
      <c r="AB8" s="75"/>
      <c r="AD8" s="74"/>
      <c r="AE8" s="75"/>
      <c r="AF8" s="10" t="s">
        <v>4</v>
      </c>
      <c r="AG8" s="75"/>
      <c r="AI8" s="74"/>
      <c r="AJ8" s="75"/>
      <c r="AK8" s="10" t="s">
        <v>4</v>
      </c>
      <c r="AL8" s="75"/>
      <c r="AN8" s="74"/>
      <c r="AO8" s="75"/>
      <c r="AP8" s="10" t="s">
        <v>4</v>
      </c>
      <c r="AQ8" s="75"/>
      <c r="AS8" s="74"/>
      <c r="AT8" s="75"/>
      <c r="AU8" s="10" t="s">
        <v>4</v>
      </c>
      <c r="AV8" s="75"/>
      <c r="AX8" s="74"/>
      <c r="AY8" s="75"/>
      <c r="AZ8" s="10" t="s">
        <v>4</v>
      </c>
      <c r="BA8" s="75"/>
    </row>
    <row r="9" spans="2:53" x14ac:dyDescent="0.25">
      <c r="C9" s="14">
        <v>42321</v>
      </c>
      <c r="E9" s="2">
        <v>101</v>
      </c>
      <c r="F9" s="15"/>
      <c r="G9" s="15"/>
      <c r="H9" s="15"/>
      <c r="J9" s="2">
        <v>50</v>
      </c>
      <c r="K9" s="15"/>
      <c r="L9" s="15"/>
      <c r="M9" s="15"/>
      <c r="O9" s="2"/>
      <c r="P9" s="15"/>
      <c r="Q9" s="15"/>
      <c r="R9" s="15"/>
      <c r="T9" s="2"/>
      <c r="U9" s="15"/>
      <c r="V9" s="15"/>
      <c r="W9" s="15"/>
      <c r="Y9" s="2"/>
      <c r="Z9" s="15"/>
      <c r="AA9" s="15"/>
      <c r="AB9" s="15"/>
      <c r="AD9" s="2"/>
      <c r="AE9" s="15"/>
      <c r="AF9" s="15"/>
      <c r="AG9" s="15"/>
      <c r="AI9" s="2"/>
      <c r="AJ9" s="15"/>
      <c r="AK9" s="15"/>
      <c r="AL9" s="15"/>
      <c r="AN9" s="2"/>
      <c r="AO9" s="15"/>
      <c r="AP9" s="15"/>
      <c r="AQ9" s="15"/>
      <c r="AS9" s="2"/>
      <c r="AT9" s="15"/>
      <c r="AU9" s="15"/>
      <c r="AV9" s="15"/>
      <c r="AX9" s="2"/>
      <c r="AY9" s="15"/>
      <c r="AZ9" s="15"/>
      <c r="BA9" s="15"/>
    </row>
    <row r="10" spans="2:53" x14ac:dyDescent="0.25">
      <c r="C10" s="14">
        <v>42322</v>
      </c>
      <c r="E10" s="2">
        <v>102</v>
      </c>
      <c r="F10" s="15">
        <f>IF(E10="","",+(E10-E9)/E9)</f>
        <v>9.9009900990099011E-3</v>
      </c>
      <c r="G10" s="15">
        <f>+F10</f>
        <v>9.9009900990099011E-3</v>
      </c>
      <c r="H10" s="15"/>
      <c r="J10" s="2">
        <v>51</v>
      </c>
      <c r="K10" s="15">
        <f>IF(J10="","",+(J10-J9)/J9)</f>
        <v>0.02</v>
      </c>
      <c r="L10" s="15">
        <f>+K10</f>
        <v>0.02</v>
      </c>
      <c r="M10" s="15"/>
      <c r="O10" s="2"/>
      <c r="P10" s="15" t="str">
        <f>IF(O10="","",+(O10-O9)/O9)</f>
        <v/>
      </c>
      <c r="Q10" s="15" t="str">
        <f>+P10</f>
        <v/>
      </c>
      <c r="R10" s="15"/>
      <c r="T10" s="2"/>
      <c r="U10" s="15" t="str">
        <f>IF(T10="","",+(T10-T9)/T9)</f>
        <v/>
      </c>
      <c r="V10" s="15" t="str">
        <f>+U10</f>
        <v/>
      </c>
      <c r="W10" s="15"/>
      <c r="Y10" s="2"/>
      <c r="Z10" s="15" t="str">
        <f>IF(Y10="","",+(Y10-Y9)/Y9)</f>
        <v/>
      </c>
      <c r="AA10" s="15" t="str">
        <f>+Z10</f>
        <v/>
      </c>
      <c r="AB10" s="15"/>
      <c r="AD10" s="2"/>
      <c r="AE10" s="15" t="str">
        <f>IF(AD10="","",+(AD10-AD9)/AD9)</f>
        <v/>
      </c>
      <c r="AF10" s="15" t="str">
        <f>+AE10</f>
        <v/>
      </c>
      <c r="AG10" s="15"/>
      <c r="AI10" s="2"/>
      <c r="AJ10" s="15" t="str">
        <f>IF(AI10="","",+(AI10-AI9)/AI9)</f>
        <v/>
      </c>
      <c r="AK10" s="15" t="str">
        <f>+AJ10</f>
        <v/>
      </c>
      <c r="AL10" s="15"/>
      <c r="AN10" s="2"/>
      <c r="AO10" s="15" t="str">
        <f>IF(AN10="","",+(AN10-AN9)/AN9)</f>
        <v/>
      </c>
      <c r="AP10" s="15" t="str">
        <f>+AO10</f>
        <v/>
      </c>
      <c r="AQ10" s="15"/>
      <c r="AS10" s="2"/>
      <c r="AT10" s="15" t="str">
        <f>IF(AS10="","",+(AS10-AS9)/AS9)</f>
        <v/>
      </c>
      <c r="AU10" s="15" t="str">
        <f>+AT10</f>
        <v/>
      </c>
      <c r="AV10" s="15"/>
      <c r="AX10" s="2"/>
      <c r="AY10" s="15" t="str">
        <f>IF(AX10="","",+(AX10-AX9)/AX9)</f>
        <v/>
      </c>
      <c r="AZ10" s="15" t="str">
        <f>+AY10</f>
        <v/>
      </c>
      <c r="BA10" s="15"/>
    </row>
    <row r="11" spans="2:53" x14ac:dyDescent="0.25">
      <c r="C11" s="14">
        <v>42323</v>
      </c>
      <c r="E11" s="2">
        <v>103</v>
      </c>
      <c r="F11" s="15">
        <f t="shared" ref="F11:F12" si="0">IF(E11="","",+(E11-E10)/E10)</f>
        <v>9.8039215686274508E-3</v>
      </c>
      <c r="G11" s="15">
        <f>IF(F11="",0,AVERAGE($F$10:F11))</f>
        <v>9.8524558338186768E-3</v>
      </c>
      <c r="H11" s="15">
        <f>IF(F10="",0,VAR($F$10:F11))</f>
        <v>4.7111497953043353E-9</v>
      </c>
      <c r="J11" s="2">
        <v>53</v>
      </c>
      <c r="K11" s="15">
        <f t="shared" ref="K11" si="1">IF(J11="","",+(J11-J10)/J10)</f>
        <v>3.9215686274509803E-2</v>
      </c>
      <c r="L11" s="15">
        <f>IF(K11="",0,AVERAGE($K$10:K11))</f>
        <v>2.9607843137254904E-2</v>
      </c>
      <c r="M11" s="15">
        <f>IF(K10="",0,VAR($K$10:K11))</f>
        <v>1.8462129950019206E-4</v>
      </c>
      <c r="O11" s="2"/>
      <c r="P11" s="15" t="str">
        <f t="shared" ref="P11" si="2">IF(O11="","",+(O11-O10)/O10)</f>
        <v/>
      </c>
      <c r="Q11" s="15">
        <f>IF(P11="",0,AVERAGE(P$10:P11))</f>
        <v>0</v>
      </c>
      <c r="R11" s="15">
        <f>IF(P10="",0,VAR(P$10:P11))</f>
        <v>0</v>
      </c>
      <c r="T11" s="2"/>
      <c r="U11" s="15" t="str">
        <f t="shared" ref="U11" si="3">IF(T11="","",+(T11-T10)/T10)</f>
        <v/>
      </c>
      <c r="V11" s="15">
        <f>IF(U11="",0,AVERAGE(U$10:U11))</f>
        <v>0</v>
      </c>
      <c r="W11" s="15">
        <f>IF(U10="",0,VAR(U$10:U11))</f>
        <v>0</v>
      </c>
      <c r="Y11" s="2"/>
      <c r="Z11" s="15" t="str">
        <f t="shared" ref="Z11" si="4">IF(Y11="","",+(Y11-Y10)/Y10)</f>
        <v/>
      </c>
      <c r="AA11" s="15">
        <f>IF(Z11="",0,AVERAGE(Z$10:Z11))</f>
        <v>0</v>
      </c>
      <c r="AB11" s="15">
        <f>IF(Z10="",0,VAR(Z$10:Z11))</f>
        <v>0</v>
      </c>
      <c r="AD11" s="2"/>
      <c r="AE11" s="15" t="str">
        <f t="shared" ref="AE11:AE13" si="5">IF(AD11="","",+(AD11-AD10)/AD10)</f>
        <v/>
      </c>
      <c r="AF11" s="15">
        <f>IF(AE11="",0,AVERAGE(AE$10:AE11))</f>
        <v>0</v>
      </c>
      <c r="AG11" s="15">
        <f>IF(AE10="",0,VAR(AE$10:AE11))</f>
        <v>0</v>
      </c>
      <c r="AI11" s="2"/>
      <c r="AJ11" s="15" t="str">
        <f t="shared" ref="AJ11:AJ12" si="6">IF(AI11="","",+(AI11-AI10)/AI10)</f>
        <v/>
      </c>
      <c r="AK11" s="15">
        <f>IF(AJ11="",0,AVERAGE(AJ$10:AJ11))</f>
        <v>0</v>
      </c>
      <c r="AL11" s="15">
        <f>IF(AJ10="",0,VAR(AJ$10:AJ11))</f>
        <v>0</v>
      </c>
      <c r="AN11" s="2"/>
      <c r="AO11" s="15" t="str">
        <f t="shared" ref="AO11:AO12" si="7">IF(AN11="","",+(AN11-AN10)/AN10)</f>
        <v/>
      </c>
      <c r="AP11" s="15">
        <f>IF(AO11="",0,AVERAGE(AO$10:AO11))</f>
        <v>0</v>
      </c>
      <c r="AQ11" s="15">
        <f>IF(AO10="",0,VAR(AO$10:AO11))</f>
        <v>0</v>
      </c>
      <c r="AS11" s="2"/>
      <c r="AT11" s="15" t="str">
        <f t="shared" ref="AT11:AT12" si="8">IF(AS11="","",+(AS11-AS10)/AS10)</f>
        <v/>
      </c>
      <c r="AU11" s="15">
        <f>IF(AT11="",0,AVERAGE(AT$10:AT11))</f>
        <v>0</v>
      </c>
      <c r="AV11" s="15">
        <f>IF(AT10="",0,VAR(AT$10:AT11))</f>
        <v>0</v>
      </c>
      <c r="AX11" s="2"/>
      <c r="AY11" s="15" t="str">
        <f t="shared" ref="AY11:AY12" si="9">IF(AX11="","",+(AX11-AX10)/AX10)</f>
        <v/>
      </c>
      <c r="AZ11" s="15">
        <f>IF(AY11="",0,AVERAGE(AY$10:AY11))</f>
        <v>0</v>
      </c>
      <c r="BA11" s="15">
        <f>IF(AY10="",0,VAR(AY$10:AY11))</f>
        <v>0</v>
      </c>
    </row>
    <row r="12" spans="2:53" x14ac:dyDescent="0.25">
      <c r="C12" s="14">
        <v>42324</v>
      </c>
      <c r="E12" s="2">
        <v>104</v>
      </c>
      <c r="F12" s="15">
        <f t="shared" si="0"/>
        <v>9.7087378640776691E-3</v>
      </c>
      <c r="G12" s="15">
        <f>IF(F12="",0,AVERAGE($F$10:F12))</f>
        <v>9.8045498439050076E-3</v>
      </c>
      <c r="H12" s="15">
        <f>IF(F11="",0,VAR($F$10:F12))</f>
        <v>9.2405265064778278E-9</v>
      </c>
      <c r="J12" s="2">
        <v>48</v>
      </c>
      <c r="K12" s="15">
        <f t="shared" ref="K12:K75" si="10">IF(J12="","",+(J12-J11)/J11)</f>
        <v>-9.4339622641509441E-2</v>
      </c>
      <c r="L12" s="15">
        <f>IF(K12="",0,AVERAGE($K$10:K12))</f>
        <v>-1.1707978788999878E-2</v>
      </c>
      <c r="M12" s="15">
        <f>IF(K11="",0,VAR($K$10:K12))</f>
        <v>5.2133020740760816E-3</v>
      </c>
      <c r="O12" s="2"/>
      <c r="P12" s="15" t="str">
        <f t="shared" ref="P12:P75" si="11">IF(O12="","",+(O12-O11)/O11)</f>
        <v/>
      </c>
      <c r="Q12" s="15">
        <f>IF(P12="",0,AVERAGE(P$10:P12))</f>
        <v>0</v>
      </c>
      <c r="R12" s="15">
        <f>IF(P11="",0,VAR(P$10:P12))</f>
        <v>0</v>
      </c>
      <c r="T12" s="2"/>
      <c r="U12" s="15" t="str">
        <f t="shared" ref="U12:U13" si="12">IF(T12="","",+(T12-T11)/T11)</f>
        <v/>
      </c>
      <c r="V12" s="15">
        <f>IF(U12="",0,AVERAGE(U$10:U12))</f>
        <v>0</v>
      </c>
      <c r="W12" s="15">
        <f>IF(U11="",0,VAR(U$10:U12))</f>
        <v>0</v>
      </c>
      <c r="Y12" s="2"/>
      <c r="Z12" s="15" t="str">
        <f t="shared" ref="Z12:Z75" si="13">IF(Y12="","",+(Y12-Y11)/Y11)</f>
        <v/>
      </c>
      <c r="AA12" s="15">
        <f>IF(Z12="",0,AVERAGE(Z$10:Z12))</f>
        <v>0</v>
      </c>
      <c r="AB12" s="15">
        <f>IF(Z11="",0,VAR(Z$10:Z12))</f>
        <v>0</v>
      </c>
      <c r="AD12" s="2"/>
      <c r="AE12" s="15" t="str">
        <f t="shared" si="5"/>
        <v/>
      </c>
      <c r="AF12" s="15">
        <f>IF(AE12="",0,AVERAGE(AE$10:AE12))</f>
        <v>0</v>
      </c>
      <c r="AG12" s="15">
        <f>IF(AE11="",0,VAR(AE$10:AE12))</f>
        <v>0</v>
      </c>
      <c r="AI12" s="2"/>
      <c r="AJ12" s="15" t="str">
        <f t="shared" si="6"/>
        <v/>
      </c>
      <c r="AK12" s="15">
        <f>IF(AJ12="",0,AVERAGE(AJ$10:AJ12))</f>
        <v>0</v>
      </c>
      <c r="AL12" s="15">
        <f>IF(AJ11="",0,VAR(AJ$10:AJ12))</f>
        <v>0</v>
      </c>
      <c r="AN12" s="2"/>
      <c r="AO12" s="15" t="str">
        <f t="shared" si="7"/>
        <v/>
      </c>
      <c r="AP12" s="15">
        <f>IF(AO12="",0,AVERAGE(AO$10:AO12))</f>
        <v>0</v>
      </c>
      <c r="AQ12" s="15">
        <f>IF(AO11="",0,VAR(AO$10:AO12))</f>
        <v>0</v>
      </c>
      <c r="AS12" s="2"/>
      <c r="AT12" s="15" t="str">
        <f t="shared" si="8"/>
        <v/>
      </c>
      <c r="AU12" s="15">
        <f>IF(AT12="",0,AVERAGE(AT$10:AT12))</f>
        <v>0</v>
      </c>
      <c r="AV12" s="15">
        <f>IF(AT11="",0,VAR(AT$10:AT12))</f>
        <v>0</v>
      </c>
      <c r="AX12" s="2"/>
      <c r="AY12" s="15" t="str">
        <f t="shared" si="9"/>
        <v/>
      </c>
      <c r="AZ12" s="15">
        <f>IF(AY12="",0,AVERAGE(AY$10:AY12))</f>
        <v>0</v>
      </c>
      <c r="BA12" s="15">
        <f>IF(AY11="",0,VAR(AY$10:AY12))</f>
        <v>0</v>
      </c>
    </row>
    <row r="13" spans="2:53" x14ac:dyDescent="0.25">
      <c r="C13" s="14">
        <v>42325</v>
      </c>
      <c r="E13" s="2">
        <v>105</v>
      </c>
      <c r="F13" s="15">
        <f t="shared" ref="F13:F74" si="14">IF(E13="","",+(E13-E12)/E12)</f>
        <v>9.6153846153846159E-3</v>
      </c>
      <c r="G13" s="15">
        <f>IF(F13="",0,AVERAGE($F$10:F13))</f>
        <v>9.7572585367749105E-3</v>
      </c>
      <c r="H13" s="15">
        <f>IF(F12="",0,VAR($F$10:F13))</f>
        <v>1.5106221924611498E-8</v>
      </c>
      <c r="J13" s="2">
        <v>80</v>
      </c>
      <c r="K13" s="15">
        <f t="shared" si="10"/>
        <v>0.66666666666666663</v>
      </c>
      <c r="L13" s="15">
        <f>IF(K13="",0,AVERAGE($K$10:K13))</f>
        <v>0.15788568257491675</v>
      </c>
      <c r="M13" s="15">
        <f>IF(K12="",0,VAR($K$10:K13))</f>
        <v>0.11852357461532603</v>
      </c>
      <c r="O13" s="2"/>
      <c r="P13" s="15" t="str">
        <f t="shared" si="11"/>
        <v/>
      </c>
      <c r="Q13" s="15">
        <f>IF(P13="",0,AVERAGE(P$10:P13))</f>
        <v>0</v>
      </c>
      <c r="R13" s="15">
        <f>IF(P12="",0,VAR(P$10:P13))</f>
        <v>0</v>
      </c>
      <c r="T13" s="2"/>
      <c r="U13" s="15" t="str">
        <f t="shared" si="12"/>
        <v/>
      </c>
      <c r="V13" s="15">
        <f>IF(U13="",0,AVERAGE(U$10:U13))</f>
        <v>0</v>
      </c>
      <c r="W13" s="15">
        <f>IF(U12="",0,VAR(U$10:U13))</f>
        <v>0</v>
      </c>
      <c r="Y13" s="2"/>
      <c r="Z13" s="15" t="str">
        <f t="shared" si="13"/>
        <v/>
      </c>
      <c r="AA13" s="15">
        <f>IF(Z13="",0,AVERAGE(Z$10:Z13))</f>
        <v>0</v>
      </c>
      <c r="AB13" s="15">
        <f>IF(Z12="",0,VAR(Z$10:Z13))</f>
        <v>0</v>
      </c>
      <c r="AD13" s="2"/>
      <c r="AE13" s="15" t="str">
        <f t="shared" si="5"/>
        <v/>
      </c>
      <c r="AF13" s="15">
        <f>IF(AE13="",0,AVERAGE(AE$10:AE13))</f>
        <v>0</v>
      </c>
      <c r="AG13" s="15">
        <f>IF(AE12="",0,VAR(AE$10:AE13))</f>
        <v>0</v>
      </c>
      <c r="AI13" s="2"/>
      <c r="AJ13" s="15" t="str">
        <f t="shared" ref="AJ13:AJ76" si="15">IF(AI13="","",+(AI13-AI12)/AI12)</f>
        <v/>
      </c>
      <c r="AK13" s="15">
        <f>IF(AJ13="",0,AVERAGE(AJ$10:AJ13))</f>
        <v>0</v>
      </c>
      <c r="AL13" s="15">
        <f>IF(AJ12="",0,VAR(AJ$10:AJ13))</f>
        <v>0</v>
      </c>
      <c r="AN13" s="2"/>
      <c r="AO13" s="15" t="str">
        <f t="shared" ref="AO13:AO76" si="16">IF(AN13="","",+(AN13-AN12)/AN12)</f>
        <v/>
      </c>
      <c r="AP13" s="15">
        <f>IF(AO13="",0,AVERAGE(AO$10:AO13))</f>
        <v>0</v>
      </c>
      <c r="AQ13" s="15">
        <f>IF(AO12="",0,VAR(AO$10:AO13))</f>
        <v>0</v>
      </c>
      <c r="AS13" s="2"/>
      <c r="AT13" s="15" t="str">
        <f t="shared" ref="AT13:AT76" si="17">IF(AS13="","",+(AS13-AS12)/AS12)</f>
        <v/>
      </c>
      <c r="AU13" s="15">
        <f>IF(AT13="",0,AVERAGE(AT$10:AT13))</f>
        <v>0</v>
      </c>
      <c r="AV13" s="15">
        <f>IF(AT12="",0,VAR(AT$10:AT13))</f>
        <v>0</v>
      </c>
      <c r="AX13" s="2"/>
      <c r="AY13" s="15" t="str">
        <f t="shared" ref="AY13:AY76" si="18">IF(AX13="","",+(AX13-AX12)/AX12)</f>
        <v/>
      </c>
      <c r="AZ13" s="15">
        <f>IF(AY13="",0,AVERAGE(AY$10:AY13))</f>
        <v>0</v>
      </c>
      <c r="BA13" s="15">
        <f>IF(AY12="",0,VAR(AY$10:AY13))</f>
        <v>0</v>
      </c>
    </row>
    <row r="14" spans="2:53" x14ac:dyDescent="0.25">
      <c r="C14" s="2"/>
      <c r="E14" s="2"/>
      <c r="F14" s="15" t="str">
        <f t="shared" si="14"/>
        <v/>
      </c>
      <c r="G14" s="15">
        <f>IF(F14="",0,AVERAGE($F$10:F14))</f>
        <v>0</v>
      </c>
      <c r="H14" s="15">
        <f>IF(F13="",0,VAR($F$10:F14))</f>
        <v>1.5106221924611498E-8</v>
      </c>
      <c r="J14" s="2"/>
      <c r="K14" s="15" t="str">
        <f t="shared" si="10"/>
        <v/>
      </c>
      <c r="L14" s="15">
        <f>IF(K14="",0,AVERAGE($K$10:K14))</f>
        <v>0</v>
      </c>
      <c r="M14" s="15">
        <f>IF(K13="",0,VAR($K$10:K14))</f>
        <v>0.11852357461532603</v>
      </c>
      <c r="O14" s="2"/>
      <c r="P14" s="15" t="str">
        <f t="shared" si="11"/>
        <v/>
      </c>
      <c r="Q14" s="15">
        <f>IF(P14="",0,AVERAGE(P$10:P14))</f>
        <v>0</v>
      </c>
      <c r="R14" s="15">
        <f>IF(P13="",0,VAR(P$10:P14))</f>
        <v>0</v>
      </c>
      <c r="T14" s="2"/>
      <c r="U14" s="15" t="str">
        <f t="shared" ref="U14:U77" si="19">IF(T14="","",+(T14-T13)/T13)</f>
        <v/>
      </c>
      <c r="V14" s="15">
        <f>IF(U14="",0,AVERAGE(U$10:U14))</f>
        <v>0</v>
      </c>
      <c r="W14" s="15">
        <f>IF(U13="",0,VAR(U$10:U14))</f>
        <v>0</v>
      </c>
      <c r="Y14" s="2"/>
      <c r="Z14" s="15" t="str">
        <f t="shared" si="13"/>
        <v/>
      </c>
      <c r="AA14" s="15">
        <f>IF(Z14="",0,AVERAGE(Z$10:Z14))</f>
        <v>0</v>
      </c>
      <c r="AB14" s="15">
        <f>IF(Z13="",0,VAR(Z$10:Z14))</f>
        <v>0</v>
      </c>
      <c r="AD14" s="2"/>
      <c r="AE14" s="15" t="str">
        <f t="shared" ref="AE14:AE77" si="20">IF(AD14="","",+(AD14-AD13)/AD13)</f>
        <v/>
      </c>
      <c r="AF14" s="15">
        <f>IF(AE14="",0,AVERAGE(AE$10:AE14))</f>
        <v>0</v>
      </c>
      <c r="AG14" s="15">
        <f>IF(AE13="",0,VAR(AE$10:AE14))</f>
        <v>0</v>
      </c>
      <c r="AI14" s="2"/>
      <c r="AJ14" s="15" t="str">
        <f t="shared" si="15"/>
        <v/>
      </c>
      <c r="AK14" s="15">
        <f>IF(AJ14="",0,AVERAGE(AJ$10:AJ14))</f>
        <v>0</v>
      </c>
      <c r="AL14" s="15">
        <f>IF(AJ13="",0,VAR(AJ$10:AJ14))</f>
        <v>0</v>
      </c>
      <c r="AN14" s="2"/>
      <c r="AO14" s="15" t="str">
        <f t="shared" si="16"/>
        <v/>
      </c>
      <c r="AP14" s="15">
        <f>IF(AO14="",0,AVERAGE(AO$10:AO14))</f>
        <v>0</v>
      </c>
      <c r="AQ14" s="15">
        <f>IF(AO13="",0,VAR(AO$10:AO14))</f>
        <v>0</v>
      </c>
      <c r="AS14" s="2"/>
      <c r="AT14" s="15" t="str">
        <f t="shared" si="17"/>
        <v/>
      </c>
      <c r="AU14" s="15">
        <f>IF(AT14="",0,AVERAGE(AT$10:AT14))</f>
        <v>0</v>
      </c>
      <c r="AV14" s="15">
        <f>IF(AT13="",0,VAR(AT$10:AT14))</f>
        <v>0</v>
      </c>
      <c r="AX14" s="2"/>
      <c r="AY14" s="15" t="str">
        <f t="shared" si="18"/>
        <v/>
      </c>
      <c r="AZ14" s="15">
        <f>IF(AY14="",0,AVERAGE(AY$10:AY14))</f>
        <v>0</v>
      </c>
      <c r="BA14" s="15">
        <f>IF(AY13="",0,VAR(AY$10:AY14))</f>
        <v>0</v>
      </c>
    </row>
    <row r="15" spans="2:53" x14ac:dyDescent="0.25">
      <c r="C15" s="2"/>
      <c r="E15" s="2"/>
      <c r="F15" s="15"/>
      <c r="G15" s="15">
        <f>IF(F15="",0,AVERAGE($F$10:F15))</f>
        <v>0</v>
      </c>
      <c r="H15" s="15">
        <f>IF(F14="",0,VAR($F$10:F15))</f>
        <v>0</v>
      </c>
      <c r="J15" s="2"/>
      <c r="K15" s="15" t="str">
        <f t="shared" si="10"/>
        <v/>
      </c>
      <c r="L15" s="15">
        <f>IF(K15="",0,AVERAGE($K$10:K15))</f>
        <v>0</v>
      </c>
      <c r="M15" s="15">
        <f>IF(K14="",0,VAR($K$10:K15))</f>
        <v>0</v>
      </c>
      <c r="O15" s="2"/>
      <c r="P15" s="15" t="str">
        <f t="shared" si="11"/>
        <v/>
      </c>
      <c r="Q15" s="15">
        <f>IF(P15="",0,AVERAGE(P$10:P15))</f>
        <v>0</v>
      </c>
      <c r="R15" s="15">
        <f>IF(P14="",0,VAR(P$10:P15))</f>
        <v>0</v>
      </c>
      <c r="T15" s="2"/>
      <c r="U15" s="15" t="str">
        <f t="shared" si="19"/>
        <v/>
      </c>
      <c r="V15" s="15">
        <f>IF(U15="",0,AVERAGE(U$10:U15))</f>
        <v>0</v>
      </c>
      <c r="W15" s="15">
        <f>IF(U14="",0,VAR(U$10:U15))</f>
        <v>0</v>
      </c>
      <c r="Y15" s="2"/>
      <c r="Z15" s="15" t="str">
        <f t="shared" si="13"/>
        <v/>
      </c>
      <c r="AA15" s="15">
        <f>IF(Z15="",0,AVERAGE(Z$10:Z15))</f>
        <v>0</v>
      </c>
      <c r="AB15" s="15">
        <f>IF(Z14="",0,VAR(Z$10:Z15))</f>
        <v>0</v>
      </c>
      <c r="AD15" s="2"/>
      <c r="AE15" s="15" t="str">
        <f t="shared" si="20"/>
        <v/>
      </c>
      <c r="AF15" s="15">
        <f>IF(AE15="",0,AVERAGE(AE$10:AE15))</f>
        <v>0</v>
      </c>
      <c r="AG15" s="15">
        <f>IF(AE14="",0,VAR(AE$10:AE15))</f>
        <v>0</v>
      </c>
      <c r="AI15" s="2"/>
      <c r="AJ15" s="15" t="str">
        <f t="shared" si="15"/>
        <v/>
      </c>
      <c r="AK15" s="15">
        <f>IF(AJ15="",0,AVERAGE(AJ$10:AJ15))</f>
        <v>0</v>
      </c>
      <c r="AL15" s="15">
        <f>IF(AJ14="",0,VAR(AJ$10:AJ15))</f>
        <v>0</v>
      </c>
      <c r="AN15" s="2"/>
      <c r="AO15" s="15" t="str">
        <f t="shared" si="16"/>
        <v/>
      </c>
      <c r="AP15" s="15">
        <f>IF(AO15="",0,AVERAGE(AO$10:AO15))</f>
        <v>0</v>
      </c>
      <c r="AQ15" s="15">
        <f>IF(AO14="",0,VAR(AO$10:AO15))</f>
        <v>0</v>
      </c>
      <c r="AS15" s="2"/>
      <c r="AT15" s="15" t="str">
        <f t="shared" si="17"/>
        <v/>
      </c>
      <c r="AU15" s="15">
        <f>IF(AT15="",0,AVERAGE(AT$10:AT15))</f>
        <v>0</v>
      </c>
      <c r="AV15" s="15">
        <f>IF(AT14="",0,VAR(AT$10:AT15))</f>
        <v>0</v>
      </c>
      <c r="AX15" s="2"/>
      <c r="AY15" s="15" t="str">
        <f t="shared" si="18"/>
        <v/>
      </c>
      <c r="AZ15" s="15">
        <f>IF(AY15="",0,AVERAGE(AY$10:AY15))</f>
        <v>0</v>
      </c>
      <c r="BA15" s="15">
        <f>IF(AY14="",0,VAR(AY$10:AY15))</f>
        <v>0</v>
      </c>
    </row>
    <row r="16" spans="2:53" x14ac:dyDescent="0.25">
      <c r="C16" s="2"/>
      <c r="E16" s="2"/>
      <c r="F16" s="15" t="str">
        <f t="shared" ref="F16" si="21">IF(E16="","",+(E16-E15)/E15)</f>
        <v/>
      </c>
      <c r="G16" s="15">
        <f>IF(F16="",0,AVERAGE($F$10:F16))</f>
        <v>0</v>
      </c>
      <c r="H16" s="15">
        <f>IF(F15="",0,VAR($F$10:F16))</f>
        <v>0</v>
      </c>
      <c r="J16" s="2"/>
      <c r="K16" s="15" t="str">
        <f t="shared" si="10"/>
        <v/>
      </c>
      <c r="L16" s="15">
        <f>IF(K16="",0,AVERAGE($K$10:K16))</f>
        <v>0</v>
      </c>
      <c r="M16" s="15">
        <f>IF(K15="",0,VAR($K$10:K16))</f>
        <v>0</v>
      </c>
      <c r="O16" s="2"/>
      <c r="P16" s="15" t="str">
        <f t="shared" si="11"/>
        <v/>
      </c>
      <c r="Q16" s="15">
        <f>IF(P16="",0,AVERAGE(P$10:P16))</f>
        <v>0</v>
      </c>
      <c r="R16" s="15">
        <f>IF(P15="",0,VAR(P$10:P16))</f>
        <v>0</v>
      </c>
      <c r="T16" s="2"/>
      <c r="U16" s="15" t="str">
        <f t="shared" si="19"/>
        <v/>
      </c>
      <c r="V16" s="15">
        <f>IF(U16="",0,AVERAGE(U$10:U16))</f>
        <v>0</v>
      </c>
      <c r="W16" s="15">
        <f>IF(U15="",0,VAR(U$10:U16))</f>
        <v>0</v>
      </c>
      <c r="Y16" s="2"/>
      <c r="Z16" s="15" t="str">
        <f t="shared" si="13"/>
        <v/>
      </c>
      <c r="AA16" s="15">
        <f>IF(Z16="",0,AVERAGE(Z$10:Z16))</f>
        <v>0</v>
      </c>
      <c r="AB16" s="15">
        <f>IF(Z15="",0,VAR(Z$10:Z16))</f>
        <v>0</v>
      </c>
      <c r="AD16" s="2"/>
      <c r="AE16" s="15" t="str">
        <f t="shared" si="20"/>
        <v/>
      </c>
      <c r="AF16" s="15">
        <f>IF(AE16="",0,AVERAGE(AE$10:AE16))</f>
        <v>0</v>
      </c>
      <c r="AG16" s="15">
        <f>IF(AE15="",0,VAR(AE$10:AE16))</f>
        <v>0</v>
      </c>
      <c r="AI16" s="2"/>
      <c r="AJ16" s="15" t="str">
        <f t="shared" si="15"/>
        <v/>
      </c>
      <c r="AK16" s="15">
        <f>IF(AJ16="",0,AVERAGE(AJ$10:AJ16))</f>
        <v>0</v>
      </c>
      <c r="AL16" s="15">
        <f>IF(AJ15="",0,VAR(AJ$10:AJ16))</f>
        <v>0</v>
      </c>
      <c r="AN16" s="2"/>
      <c r="AO16" s="15" t="str">
        <f t="shared" si="16"/>
        <v/>
      </c>
      <c r="AP16" s="15">
        <f>IF(AO16="",0,AVERAGE(AO$10:AO16))</f>
        <v>0</v>
      </c>
      <c r="AQ16" s="15">
        <f>IF(AO15="",0,VAR(AO$10:AO16))</f>
        <v>0</v>
      </c>
      <c r="AS16" s="2"/>
      <c r="AT16" s="15" t="str">
        <f t="shared" si="17"/>
        <v/>
      </c>
      <c r="AU16" s="15">
        <f>IF(AT16="",0,AVERAGE(AT$10:AT16))</f>
        <v>0</v>
      </c>
      <c r="AV16" s="15">
        <f>IF(AT15="",0,VAR(AT$10:AT16))</f>
        <v>0</v>
      </c>
      <c r="AX16" s="2"/>
      <c r="AY16" s="15" t="str">
        <f t="shared" si="18"/>
        <v/>
      </c>
      <c r="AZ16" s="15">
        <f>IF(AY16="",0,AVERAGE(AY$10:AY16))</f>
        <v>0</v>
      </c>
      <c r="BA16" s="15">
        <f>IF(AY15="",0,VAR(AY$10:AY16))</f>
        <v>0</v>
      </c>
    </row>
    <row r="17" spans="3:53" x14ac:dyDescent="0.25">
      <c r="C17" s="2"/>
      <c r="E17" s="2"/>
      <c r="F17" s="15" t="str">
        <f t="shared" si="14"/>
        <v/>
      </c>
      <c r="G17" s="15">
        <f>IF(F17="",0,AVERAGE($F$10:F17))</f>
        <v>0</v>
      </c>
      <c r="H17" s="15">
        <f>IF(F16="",0,VAR($F$10:F17))</f>
        <v>0</v>
      </c>
      <c r="J17" s="2"/>
      <c r="K17" s="15" t="str">
        <f t="shared" si="10"/>
        <v/>
      </c>
      <c r="L17" s="15">
        <f>IF(K17="",0,AVERAGE($K$10:K17))</f>
        <v>0</v>
      </c>
      <c r="M17" s="15">
        <f>IF(K16="",0,VAR($K$10:K17))</f>
        <v>0</v>
      </c>
      <c r="O17" s="2"/>
      <c r="P17" s="15" t="str">
        <f t="shared" si="11"/>
        <v/>
      </c>
      <c r="Q17" s="15">
        <f>IF(P17="",0,AVERAGE(P$10:P17))</f>
        <v>0</v>
      </c>
      <c r="R17" s="15">
        <f>IF(P16="",0,VAR(P$10:P17))</f>
        <v>0</v>
      </c>
      <c r="T17" s="2"/>
      <c r="U17" s="15" t="str">
        <f t="shared" si="19"/>
        <v/>
      </c>
      <c r="V17" s="15">
        <f>IF(U17="",0,AVERAGE(U$10:U17))</f>
        <v>0</v>
      </c>
      <c r="W17" s="15">
        <f>IF(U16="",0,VAR(U$10:U17))</f>
        <v>0</v>
      </c>
      <c r="Y17" s="2"/>
      <c r="Z17" s="15" t="str">
        <f t="shared" si="13"/>
        <v/>
      </c>
      <c r="AA17" s="15">
        <f>IF(Z17="",0,AVERAGE(Z$10:Z17))</f>
        <v>0</v>
      </c>
      <c r="AB17" s="15">
        <f>IF(Z16="",0,VAR(Z$10:Z17))</f>
        <v>0</v>
      </c>
      <c r="AD17" s="2"/>
      <c r="AE17" s="15" t="str">
        <f t="shared" si="20"/>
        <v/>
      </c>
      <c r="AF17" s="15">
        <f>IF(AE17="",0,AVERAGE(AE$10:AE17))</f>
        <v>0</v>
      </c>
      <c r="AG17" s="15">
        <f>IF(AE16="",0,VAR(AE$10:AE17))</f>
        <v>0</v>
      </c>
      <c r="AI17" s="2"/>
      <c r="AJ17" s="15" t="str">
        <f t="shared" si="15"/>
        <v/>
      </c>
      <c r="AK17" s="15">
        <f>IF(AJ17="",0,AVERAGE(AJ$10:AJ17))</f>
        <v>0</v>
      </c>
      <c r="AL17" s="15">
        <f>IF(AJ16="",0,VAR(AJ$10:AJ17))</f>
        <v>0</v>
      </c>
      <c r="AN17" s="2"/>
      <c r="AO17" s="15" t="str">
        <f t="shared" si="16"/>
        <v/>
      </c>
      <c r="AP17" s="15">
        <f>IF(AO17="",0,AVERAGE(AO$10:AO17))</f>
        <v>0</v>
      </c>
      <c r="AQ17" s="15">
        <f>IF(AO16="",0,VAR(AO$10:AO17))</f>
        <v>0</v>
      </c>
      <c r="AS17" s="2"/>
      <c r="AT17" s="15" t="str">
        <f t="shared" si="17"/>
        <v/>
      </c>
      <c r="AU17" s="15">
        <f>IF(AT17="",0,AVERAGE(AT$10:AT17))</f>
        <v>0</v>
      </c>
      <c r="AV17" s="15">
        <f>IF(AT16="",0,VAR(AT$10:AT17))</f>
        <v>0</v>
      </c>
      <c r="AX17" s="2"/>
      <c r="AY17" s="15" t="str">
        <f t="shared" si="18"/>
        <v/>
      </c>
      <c r="AZ17" s="15">
        <f>IF(AY17="",0,AVERAGE(AY$10:AY17))</f>
        <v>0</v>
      </c>
      <c r="BA17" s="15">
        <f>IF(AY16="",0,VAR(AY$10:AY17))</f>
        <v>0</v>
      </c>
    </row>
    <row r="18" spans="3:53" x14ac:dyDescent="0.25">
      <c r="C18" s="2"/>
      <c r="E18" s="2"/>
      <c r="F18" s="15"/>
      <c r="G18" s="15">
        <f>IF(F18="",0,AVERAGE($F$10:F18))</f>
        <v>0</v>
      </c>
      <c r="H18" s="15">
        <f>IF(F17="",0,VAR($F$10:F18))</f>
        <v>0</v>
      </c>
      <c r="J18" s="2"/>
      <c r="K18" s="15" t="str">
        <f t="shared" si="10"/>
        <v/>
      </c>
      <c r="L18" s="15">
        <f>IF(K18="",0,AVERAGE($K$10:K18))</f>
        <v>0</v>
      </c>
      <c r="M18" s="15">
        <f>IF(K17="",0,VAR($K$10:K18))</f>
        <v>0</v>
      </c>
      <c r="O18" s="2"/>
      <c r="P18" s="15" t="str">
        <f t="shared" si="11"/>
        <v/>
      </c>
      <c r="Q18" s="15">
        <f>IF(P18="",0,AVERAGE(P$10:P18))</f>
        <v>0</v>
      </c>
      <c r="R18" s="15">
        <f>IF(P17="",0,VAR(P$10:P18))</f>
        <v>0</v>
      </c>
      <c r="T18" s="2"/>
      <c r="U18" s="15" t="str">
        <f t="shared" si="19"/>
        <v/>
      </c>
      <c r="V18" s="15">
        <f>IF(U18="",0,AVERAGE(U$10:U18))</f>
        <v>0</v>
      </c>
      <c r="W18" s="15">
        <f>IF(U17="",0,VAR(U$10:U18))</f>
        <v>0</v>
      </c>
      <c r="Y18" s="2"/>
      <c r="Z18" s="15" t="str">
        <f t="shared" si="13"/>
        <v/>
      </c>
      <c r="AA18" s="15">
        <f>IF(Z18="",0,AVERAGE(Z$10:Z18))</f>
        <v>0</v>
      </c>
      <c r="AB18" s="15">
        <f>IF(Z17="",0,VAR(Z$10:Z18))</f>
        <v>0</v>
      </c>
      <c r="AD18" s="2"/>
      <c r="AE18" s="15" t="str">
        <f t="shared" si="20"/>
        <v/>
      </c>
      <c r="AF18" s="15">
        <f>IF(AE18="",0,AVERAGE(AE$10:AE18))</f>
        <v>0</v>
      </c>
      <c r="AG18" s="15">
        <f>IF(AE17="",0,VAR(AE$10:AE18))</f>
        <v>0</v>
      </c>
      <c r="AI18" s="2"/>
      <c r="AJ18" s="15" t="str">
        <f t="shared" si="15"/>
        <v/>
      </c>
      <c r="AK18" s="15">
        <f>IF(AJ18="",0,AVERAGE(AJ$10:AJ18))</f>
        <v>0</v>
      </c>
      <c r="AL18" s="15">
        <f>IF(AJ17="",0,VAR(AJ$10:AJ18))</f>
        <v>0</v>
      </c>
      <c r="AN18" s="2"/>
      <c r="AO18" s="15" t="str">
        <f t="shared" si="16"/>
        <v/>
      </c>
      <c r="AP18" s="15">
        <f>IF(AO18="",0,AVERAGE(AO$10:AO18))</f>
        <v>0</v>
      </c>
      <c r="AQ18" s="15">
        <f>IF(AO17="",0,VAR(AO$10:AO18))</f>
        <v>0</v>
      </c>
      <c r="AS18" s="2"/>
      <c r="AT18" s="15" t="str">
        <f t="shared" si="17"/>
        <v/>
      </c>
      <c r="AU18" s="15">
        <f>IF(AT18="",0,AVERAGE(AT$10:AT18))</f>
        <v>0</v>
      </c>
      <c r="AV18" s="15">
        <f>IF(AT17="",0,VAR(AT$10:AT18))</f>
        <v>0</v>
      </c>
      <c r="AX18" s="2"/>
      <c r="AY18" s="15" t="str">
        <f t="shared" si="18"/>
        <v/>
      </c>
      <c r="AZ18" s="15">
        <f>IF(AY18="",0,AVERAGE(AY$10:AY18))</f>
        <v>0</v>
      </c>
      <c r="BA18" s="15">
        <f>IF(AY17="",0,VAR(AY$10:AY18))</f>
        <v>0</v>
      </c>
    </row>
    <row r="19" spans="3:53" x14ac:dyDescent="0.25">
      <c r="C19" s="2"/>
      <c r="E19" s="2"/>
      <c r="F19" s="15" t="str">
        <f t="shared" ref="F19" si="22">IF(E19="","",+(E19-E18)/E18)</f>
        <v/>
      </c>
      <c r="G19" s="15">
        <f>IF(F19="",0,AVERAGE($F$10:F19))</f>
        <v>0</v>
      </c>
      <c r="H19" s="15">
        <f>IF(F18="",0,VAR($F$10:F19))</f>
        <v>0</v>
      </c>
      <c r="J19" s="2"/>
      <c r="K19" s="15" t="str">
        <f t="shared" si="10"/>
        <v/>
      </c>
      <c r="L19" s="15">
        <f>IF(K19="",0,AVERAGE($K$10:K19))</f>
        <v>0</v>
      </c>
      <c r="M19" s="15">
        <f>IF(K18="",0,VAR($K$10:K19))</f>
        <v>0</v>
      </c>
      <c r="O19" s="2"/>
      <c r="P19" s="15" t="str">
        <f t="shared" si="11"/>
        <v/>
      </c>
      <c r="Q19" s="15">
        <f>IF(P19="",0,AVERAGE(P$10:P19))</f>
        <v>0</v>
      </c>
      <c r="R19" s="15">
        <f>IF(P18="",0,VAR(P$10:P19))</f>
        <v>0</v>
      </c>
      <c r="T19" s="2"/>
      <c r="U19" s="15" t="str">
        <f t="shared" si="19"/>
        <v/>
      </c>
      <c r="V19" s="15">
        <f>IF(U19="",0,AVERAGE(U$10:U19))</f>
        <v>0</v>
      </c>
      <c r="W19" s="15">
        <f>IF(U18="",0,VAR(U$10:U19))</f>
        <v>0</v>
      </c>
      <c r="Y19" s="2"/>
      <c r="Z19" s="15" t="str">
        <f t="shared" si="13"/>
        <v/>
      </c>
      <c r="AA19" s="15">
        <f>IF(Z19="",0,AVERAGE(Z$10:Z19))</f>
        <v>0</v>
      </c>
      <c r="AB19" s="15">
        <f>IF(Z18="",0,VAR(Z$10:Z19))</f>
        <v>0</v>
      </c>
      <c r="AD19" s="2"/>
      <c r="AE19" s="15" t="str">
        <f t="shared" si="20"/>
        <v/>
      </c>
      <c r="AF19" s="15">
        <f>IF(AE19="",0,AVERAGE(AE$10:AE19))</f>
        <v>0</v>
      </c>
      <c r="AG19" s="15">
        <f>IF(AE18="",0,VAR(AE$10:AE19))</f>
        <v>0</v>
      </c>
      <c r="AI19" s="2"/>
      <c r="AJ19" s="15" t="str">
        <f t="shared" si="15"/>
        <v/>
      </c>
      <c r="AK19" s="15">
        <f>IF(AJ19="",0,AVERAGE(AJ$10:AJ19))</f>
        <v>0</v>
      </c>
      <c r="AL19" s="15">
        <f>IF(AJ18="",0,VAR(AJ$10:AJ19))</f>
        <v>0</v>
      </c>
      <c r="AN19" s="2"/>
      <c r="AO19" s="15" t="str">
        <f t="shared" si="16"/>
        <v/>
      </c>
      <c r="AP19" s="15">
        <f>IF(AO19="",0,AVERAGE(AO$10:AO19))</f>
        <v>0</v>
      </c>
      <c r="AQ19" s="15">
        <f>IF(AO18="",0,VAR(AO$10:AO19))</f>
        <v>0</v>
      </c>
      <c r="AS19" s="2"/>
      <c r="AT19" s="15" t="str">
        <f t="shared" si="17"/>
        <v/>
      </c>
      <c r="AU19" s="15">
        <f>IF(AT19="",0,AVERAGE(AT$10:AT19))</f>
        <v>0</v>
      </c>
      <c r="AV19" s="15">
        <f>IF(AT18="",0,VAR(AT$10:AT19))</f>
        <v>0</v>
      </c>
      <c r="AX19" s="2"/>
      <c r="AY19" s="15" t="str">
        <f t="shared" si="18"/>
        <v/>
      </c>
      <c r="AZ19" s="15">
        <f>IF(AY19="",0,AVERAGE(AY$10:AY19))</f>
        <v>0</v>
      </c>
      <c r="BA19" s="15">
        <f>IF(AY18="",0,VAR(AY$10:AY19))</f>
        <v>0</v>
      </c>
    </row>
    <row r="20" spans="3:53" x14ac:dyDescent="0.25">
      <c r="C20" s="2"/>
      <c r="E20" s="2"/>
      <c r="F20" s="15" t="str">
        <f t="shared" si="14"/>
        <v/>
      </c>
      <c r="G20" s="15">
        <f>IF(F20="",0,AVERAGE($F$10:F20))</f>
        <v>0</v>
      </c>
      <c r="H20" s="15">
        <f>IF(F19="",0,VAR($F$10:F20))</f>
        <v>0</v>
      </c>
      <c r="J20" s="2"/>
      <c r="K20" s="15" t="str">
        <f t="shared" si="10"/>
        <v/>
      </c>
      <c r="L20" s="15">
        <f>IF(K20="",0,AVERAGE($K$10:K20))</f>
        <v>0</v>
      </c>
      <c r="M20" s="15">
        <f>IF(K19="",0,VAR($K$10:K20))</f>
        <v>0</v>
      </c>
      <c r="O20" s="2"/>
      <c r="P20" s="15" t="str">
        <f t="shared" si="11"/>
        <v/>
      </c>
      <c r="Q20" s="15">
        <f>IF(P20="",0,AVERAGE(P$10:P20))</f>
        <v>0</v>
      </c>
      <c r="R20" s="15">
        <f>IF(P19="",0,VAR(P$10:P20))</f>
        <v>0</v>
      </c>
      <c r="T20" s="2"/>
      <c r="U20" s="15" t="str">
        <f t="shared" si="19"/>
        <v/>
      </c>
      <c r="V20" s="15">
        <f>IF(U20="",0,AVERAGE(U$10:U20))</f>
        <v>0</v>
      </c>
      <c r="W20" s="15">
        <f>IF(U19="",0,VAR(U$10:U20))</f>
        <v>0</v>
      </c>
      <c r="Y20" s="2"/>
      <c r="Z20" s="15" t="str">
        <f t="shared" si="13"/>
        <v/>
      </c>
      <c r="AA20" s="15">
        <f>IF(Z20="",0,AVERAGE(Z$10:Z20))</f>
        <v>0</v>
      </c>
      <c r="AB20" s="15">
        <f>IF(Z19="",0,VAR(Z$10:Z20))</f>
        <v>0</v>
      </c>
      <c r="AD20" s="2"/>
      <c r="AE20" s="15" t="str">
        <f t="shared" si="20"/>
        <v/>
      </c>
      <c r="AF20" s="15">
        <f>IF(AE20="",0,AVERAGE(AE$10:AE20))</f>
        <v>0</v>
      </c>
      <c r="AG20" s="15">
        <f>IF(AE19="",0,VAR(AE$10:AE20))</f>
        <v>0</v>
      </c>
      <c r="AI20" s="2"/>
      <c r="AJ20" s="15" t="str">
        <f t="shared" si="15"/>
        <v/>
      </c>
      <c r="AK20" s="15">
        <f>IF(AJ20="",0,AVERAGE(AJ$10:AJ20))</f>
        <v>0</v>
      </c>
      <c r="AL20" s="15">
        <f>IF(AJ19="",0,VAR(AJ$10:AJ20))</f>
        <v>0</v>
      </c>
      <c r="AN20" s="2"/>
      <c r="AO20" s="15" t="str">
        <f t="shared" si="16"/>
        <v/>
      </c>
      <c r="AP20" s="15">
        <f>IF(AO20="",0,AVERAGE(AO$10:AO20))</f>
        <v>0</v>
      </c>
      <c r="AQ20" s="15">
        <f>IF(AO19="",0,VAR(AO$10:AO20))</f>
        <v>0</v>
      </c>
      <c r="AS20" s="2"/>
      <c r="AT20" s="15" t="str">
        <f t="shared" si="17"/>
        <v/>
      </c>
      <c r="AU20" s="15">
        <f>IF(AT20="",0,AVERAGE(AT$10:AT20))</f>
        <v>0</v>
      </c>
      <c r="AV20" s="15">
        <f>IF(AT19="",0,VAR(AT$10:AT20))</f>
        <v>0</v>
      </c>
      <c r="AX20" s="2"/>
      <c r="AY20" s="15" t="str">
        <f t="shared" si="18"/>
        <v/>
      </c>
      <c r="AZ20" s="15">
        <f>IF(AY20="",0,AVERAGE(AY$10:AY20))</f>
        <v>0</v>
      </c>
      <c r="BA20" s="15">
        <f>IF(AY19="",0,VAR(AY$10:AY20))</f>
        <v>0</v>
      </c>
    </row>
    <row r="21" spans="3:53" x14ac:dyDescent="0.25">
      <c r="C21" s="2"/>
      <c r="E21" s="2"/>
      <c r="F21" s="15"/>
      <c r="G21" s="15">
        <f>IF(F21="",0,AVERAGE($F$10:F21))</f>
        <v>0</v>
      </c>
      <c r="H21" s="15">
        <f>IF(F20="",0,VAR($F$10:F21))</f>
        <v>0</v>
      </c>
      <c r="J21" s="2"/>
      <c r="K21" s="15" t="str">
        <f t="shared" si="10"/>
        <v/>
      </c>
      <c r="L21" s="15">
        <f>IF(K21="",0,AVERAGE($K$10:K21))</f>
        <v>0</v>
      </c>
      <c r="M21" s="15">
        <f>IF(K20="",0,VAR($K$10:K21))</f>
        <v>0</v>
      </c>
      <c r="O21" s="2"/>
      <c r="P21" s="15" t="str">
        <f t="shared" si="11"/>
        <v/>
      </c>
      <c r="Q21" s="15">
        <f>IF(P21="",0,AVERAGE(P$10:P21))</f>
        <v>0</v>
      </c>
      <c r="R21" s="15">
        <f>IF(P20="",0,VAR(P$10:P21))</f>
        <v>0</v>
      </c>
      <c r="T21" s="2"/>
      <c r="U21" s="15" t="str">
        <f t="shared" si="19"/>
        <v/>
      </c>
      <c r="V21" s="15">
        <f>IF(U21="",0,AVERAGE(U$10:U21))</f>
        <v>0</v>
      </c>
      <c r="W21" s="15">
        <f>IF(U20="",0,VAR(U$10:U21))</f>
        <v>0</v>
      </c>
      <c r="Y21" s="2"/>
      <c r="Z21" s="15" t="str">
        <f t="shared" si="13"/>
        <v/>
      </c>
      <c r="AA21" s="15">
        <f>IF(Z21="",0,AVERAGE(Z$10:Z21))</f>
        <v>0</v>
      </c>
      <c r="AB21" s="15">
        <f>IF(Z20="",0,VAR(Z$10:Z21))</f>
        <v>0</v>
      </c>
      <c r="AD21" s="2"/>
      <c r="AE21" s="15" t="str">
        <f t="shared" si="20"/>
        <v/>
      </c>
      <c r="AF21" s="15">
        <f>IF(AE21="",0,AVERAGE(AE$10:AE21))</f>
        <v>0</v>
      </c>
      <c r="AG21" s="15">
        <f>IF(AE20="",0,VAR(AE$10:AE21))</f>
        <v>0</v>
      </c>
      <c r="AI21" s="2"/>
      <c r="AJ21" s="15" t="str">
        <f t="shared" si="15"/>
        <v/>
      </c>
      <c r="AK21" s="15">
        <f>IF(AJ21="",0,AVERAGE(AJ$10:AJ21))</f>
        <v>0</v>
      </c>
      <c r="AL21" s="15">
        <f>IF(AJ20="",0,VAR(AJ$10:AJ21))</f>
        <v>0</v>
      </c>
      <c r="AN21" s="2"/>
      <c r="AO21" s="15" t="str">
        <f t="shared" si="16"/>
        <v/>
      </c>
      <c r="AP21" s="15">
        <f>IF(AO21="",0,AVERAGE(AO$10:AO21))</f>
        <v>0</v>
      </c>
      <c r="AQ21" s="15">
        <f>IF(AO20="",0,VAR(AO$10:AO21))</f>
        <v>0</v>
      </c>
      <c r="AS21" s="2"/>
      <c r="AT21" s="15" t="str">
        <f t="shared" si="17"/>
        <v/>
      </c>
      <c r="AU21" s="15">
        <f>IF(AT21="",0,AVERAGE(AT$10:AT21))</f>
        <v>0</v>
      </c>
      <c r="AV21" s="15">
        <f>IF(AT20="",0,VAR(AT$10:AT21))</f>
        <v>0</v>
      </c>
      <c r="AX21" s="2"/>
      <c r="AY21" s="15" t="str">
        <f t="shared" si="18"/>
        <v/>
      </c>
      <c r="AZ21" s="15">
        <f>IF(AY21="",0,AVERAGE(AY$10:AY21))</f>
        <v>0</v>
      </c>
      <c r="BA21" s="15">
        <f>IF(AY20="",0,VAR(AY$10:AY21))</f>
        <v>0</v>
      </c>
    </row>
    <row r="22" spans="3:53" x14ac:dyDescent="0.25">
      <c r="C22" s="2"/>
      <c r="E22" s="2"/>
      <c r="F22" s="15" t="str">
        <f t="shared" ref="F22" si="23">IF(E22="","",+(E22-E21)/E21)</f>
        <v/>
      </c>
      <c r="G22" s="15">
        <f>IF(F22="",0,AVERAGE($F$10:F22))</f>
        <v>0</v>
      </c>
      <c r="H22" s="15">
        <f>IF(F21="",0,VAR($F$10:F22))</f>
        <v>0</v>
      </c>
      <c r="J22" s="2"/>
      <c r="K22" s="15" t="str">
        <f t="shared" si="10"/>
        <v/>
      </c>
      <c r="L22" s="15">
        <f>IF(K22="",0,AVERAGE($K$10:K22))</f>
        <v>0</v>
      </c>
      <c r="M22" s="15">
        <f>IF(K21="",0,VAR($K$10:K22))</f>
        <v>0</v>
      </c>
      <c r="O22" s="2"/>
      <c r="P22" s="15" t="str">
        <f t="shared" si="11"/>
        <v/>
      </c>
      <c r="Q22" s="15">
        <f>IF(P22="",0,AVERAGE(P$10:P22))</f>
        <v>0</v>
      </c>
      <c r="R22" s="15">
        <f>IF(P21="",0,VAR(P$10:P22))</f>
        <v>0</v>
      </c>
      <c r="T22" s="2"/>
      <c r="U22" s="15" t="str">
        <f t="shared" si="19"/>
        <v/>
      </c>
      <c r="V22" s="15">
        <f>IF(U22="",0,AVERAGE(U$10:U22))</f>
        <v>0</v>
      </c>
      <c r="W22" s="15">
        <f>IF(U21="",0,VAR(U$10:U22))</f>
        <v>0</v>
      </c>
      <c r="Y22" s="2"/>
      <c r="Z22" s="15" t="str">
        <f t="shared" si="13"/>
        <v/>
      </c>
      <c r="AA22" s="15">
        <f>IF(Z22="",0,AVERAGE(Z$10:Z22))</f>
        <v>0</v>
      </c>
      <c r="AB22" s="15">
        <f>IF(Z21="",0,VAR(Z$10:Z22))</f>
        <v>0</v>
      </c>
      <c r="AD22" s="2"/>
      <c r="AE22" s="15" t="str">
        <f t="shared" si="20"/>
        <v/>
      </c>
      <c r="AF22" s="15">
        <f>IF(AE22="",0,AVERAGE(AE$10:AE22))</f>
        <v>0</v>
      </c>
      <c r="AG22" s="15">
        <f>IF(AE21="",0,VAR(AE$10:AE22))</f>
        <v>0</v>
      </c>
      <c r="AI22" s="2"/>
      <c r="AJ22" s="15" t="str">
        <f t="shared" si="15"/>
        <v/>
      </c>
      <c r="AK22" s="15">
        <f>IF(AJ22="",0,AVERAGE(AJ$10:AJ22))</f>
        <v>0</v>
      </c>
      <c r="AL22" s="15">
        <f>IF(AJ21="",0,VAR(AJ$10:AJ22))</f>
        <v>0</v>
      </c>
      <c r="AN22" s="2"/>
      <c r="AO22" s="15" t="str">
        <f t="shared" si="16"/>
        <v/>
      </c>
      <c r="AP22" s="15">
        <f>IF(AO22="",0,AVERAGE(AO$10:AO22))</f>
        <v>0</v>
      </c>
      <c r="AQ22" s="15">
        <f>IF(AO21="",0,VAR(AO$10:AO22))</f>
        <v>0</v>
      </c>
      <c r="AS22" s="2"/>
      <c r="AT22" s="15" t="str">
        <f t="shared" si="17"/>
        <v/>
      </c>
      <c r="AU22" s="15">
        <f>IF(AT22="",0,AVERAGE(AT$10:AT22))</f>
        <v>0</v>
      </c>
      <c r="AV22" s="15">
        <f>IF(AT21="",0,VAR(AT$10:AT22))</f>
        <v>0</v>
      </c>
      <c r="AX22" s="2"/>
      <c r="AY22" s="15" t="str">
        <f t="shared" si="18"/>
        <v/>
      </c>
      <c r="AZ22" s="15">
        <f>IF(AY22="",0,AVERAGE(AY$10:AY22))</f>
        <v>0</v>
      </c>
      <c r="BA22" s="15">
        <f>IF(AY21="",0,VAR(AY$10:AY22))</f>
        <v>0</v>
      </c>
    </row>
    <row r="23" spans="3:53" x14ac:dyDescent="0.25">
      <c r="C23" s="2"/>
      <c r="E23" s="2"/>
      <c r="F23" s="15" t="str">
        <f t="shared" si="14"/>
        <v/>
      </c>
      <c r="G23" s="15">
        <f>IF(F23="",0,AVERAGE($F$10:F23))</f>
        <v>0</v>
      </c>
      <c r="H23" s="15">
        <f>IF(F22="",0,VAR($F$10:F23))</f>
        <v>0</v>
      </c>
      <c r="J23" s="2"/>
      <c r="K23" s="15" t="str">
        <f t="shared" si="10"/>
        <v/>
      </c>
      <c r="L23" s="15">
        <f>IF(K23="",0,AVERAGE($K$10:K23))</f>
        <v>0</v>
      </c>
      <c r="M23" s="15">
        <f>IF(K22="",0,VAR($K$10:K23))</f>
        <v>0</v>
      </c>
      <c r="O23" s="2"/>
      <c r="P23" s="15" t="str">
        <f t="shared" si="11"/>
        <v/>
      </c>
      <c r="Q23" s="15">
        <f>IF(P23="",0,AVERAGE(P$10:P23))</f>
        <v>0</v>
      </c>
      <c r="R23" s="15">
        <f>IF(P22="",0,VAR(P$10:P23))</f>
        <v>0</v>
      </c>
      <c r="T23" s="2"/>
      <c r="U23" s="15" t="str">
        <f t="shared" si="19"/>
        <v/>
      </c>
      <c r="V23" s="15">
        <f>IF(U23="",0,AVERAGE(U$10:U23))</f>
        <v>0</v>
      </c>
      <c r="W23" s="15">
        <f>IF(U22="",0,VAR(U$10:U23))</f>
        <v>0</v>
      </c>
      <c r="Y23" s="2"/>
      <c r="Z23" s="15" t="str">
        <f t="shared" si="13"/>
        <v/>
      </c>
      <c r="AA23" s="15">
        <f>IF(Z23="",0,AVERAGE(Z$10:Z23))</f>
        <v>0</v>
      </c>
      <c r="AB23" s="15">
        <f>IF(Z22="",0,VAR(Z$10:Z23))</f>
        <v>0</v>
      </c>
      <c r="AD23" s="2"/>
      <c r="AE23" s="15" t="str">
        <f t="shared" si="20"/>
        <v/>
      </c>
      <c r="AF23" s="15">
        <f>IF(AE23="",0,AVERAGE(AE$10:AE23))</f>
        <v>0</v>
      </c>
      <c r="AG23" s="15">
        <f>IF(AE22="",0,VAR(AE$10:AE23))</f>
        <v>0</v>
      </c>
      <c r="AI23" s="2"/>
      <c r="AJ23" s="15" t="str">
        <f t="shared" si="15"/>
        <v/>
      </c>
      <c r="AK23" s="15">
        <f>IF(AJ23="",0,AVERAGE(AJ$10:AJ23))</f>
        <v>0</v>
      </c>
      <c r="AL23" s="15">
        <f>IF(AJ22="",0,VAR(AJ$10:AJ23))</f>
        <v>0</v>
      </c>
      <c r="AN23" s="2"/>
      <c r="AO23" s="15" t="str">
        <f t="shared" si="16"/>
        <v/>
      </c>
      <c r="AP23" s="15">
        <f>IF(AO23="",0,AVERAGE(AO$10:AO23))</f>
        <v>0</v>
      </c>
      <c r="AQ23" s="15">
        <f>IF(AO22="",0,VAR(AO$10:AO23))</f>
        <v>0</v>
      </c>
      <c r="AS23" s="2"/>
      <c r="AT23" s="15" t="str">
        <f t="shared" si="17"/>
        <v/>
      </c>
      <c r="AU23" s="15">
        <f>IF(AT23="",0,AVERAGE(AT$10:AT23))</f>
        <v>0</v>
      </c>
      <c r="AV23" s="15">
        <f>IF(AT22="",0,VAR(AT$10:AT23))</f>
        <v>0</v>
      </c>
      <c r="AX23" s="2"/>
      <c r="AY23" s="15" t="str">
        <f t="shared" si="18"/>
        <v/>
      </c>
      <c r="AZ23" s="15">
        <f>IF(AY23="",0,AVERAGE(AY$10:AY23))</f>
        <v>0</v>
      </c>
      <c r="BA23" s="15">
        <f>IF(AY22="",0,VAR(AY$10:AY23))</f>
        <v>0</v>
      </c>
    </row>
    <row r="24" spans="3:53" x14ac:dyDescent="0.25">
      <c r="C24" s="2"/>
      <c r="E24" s="2"/>
      <c r="F24" s="15"/>
      <c r="G24" s="15">
        <f>IF(F24="",0,AVERAGE($F$10:F24))</f>
        <v>0</v>
      </c>
      <c r="H24" s="15">
        <f>IF(F23="",0,VAR($F$10:F24))</f>
        <v>0</v>
      </c>
      <c r="J24" s="2"/>
      <c r="K24" s="15" t="str">
        <f t="shared" si="10"/>
        <v/>
      </c>
      <c r="L24" s="15">
        <f>IF(K24="",0,AVERAGE($K$10:K24))</f>
        <v>0</v>
      </c>
      <c r="M24" s="15">
        <f>IF(K23="",0,VAR($K$10:K24))</f>
        <v>0</v>
      </c>
      <c r="O24" s="2"/>
      <c r="P24" s="15" t="str">
        <f t="shared" si="11"/>
        <v/>
      </c>
      <c r="Q24" s="15">
        <f>IF(P24="",0,AVERAGE(P$10:P24))</f>
        <v>0</v>
      </c>
      <c r="R24" s="15">
        <f>IF(P23="",0,VAR(P$10:P24))</f>
        <v>0</v>
      </c>
      <c r="T24" s="2"/>
      <c r="U24" s="15" t="str">
        <f t="shared" si="19"/>
        <v/>
      </c>
      <c r="V24" s="15">
        <f>IF(U24="",0,AVERAGE(U$10:U24))</f>
        <v>0</v>
      </c>
      <c r="W24" s="15">
        <f>IF(U23="",0,VAR(U$10:U24))</f>
        <v>0</v>
      </c>
      <c r="Y24" s="2"/>
      <c r="Z24" s="15" t="str">
        <f t="shared" si="13"/>
        <v/>
      </c>
      <c r="AA24" s="15">
        <f>IF(Z24="",0,AVERAGE(Z$10:Z24))</f>
        <v>0</v>
      </c>
      <c r="AB24" s="15">
        <f>IF(Z23="",0,VAR(Z$10:Z24))</f>
        <v>0</v>
      </c>
      <c r="AD24" s="2"/>
      <c r="AE24" s="15" t="str">
        <f t="shared" si="20"/>
        <v/>
      </c>
      <c r="AF24" s="15">
        <f>IF(AE24="",0,AVERAGE(AE$10:AE24))</f>
        <v>0</v>
      </c>
      <c r="AG24" s="15">
        <f>IF(AE23="",0,VAR(AE$10:AE24))</f>
        <v>0</v>
      </c>
      <c r="AI24" s="2"/>
      <c r="AJ24" s="15" t="str">
        <f t="shared" si="15"/>
        <v/>
      </c>
      <c r="AK24" s="15">
        <f>IF(AJ24="",0,AVERAGE(AJ$10:AJ24))</f>
        <v>0</v>
      </c>
      <c r="AL24" s="15">
        <f>IF(AJ23="",0,VAR(AJ$10:AJ24))</f>
        <v>0</v>
      </c>
      <c r="AN24" s="2"/>
      <c r="AO24" s="15" t="str">
        <f t="shared" si="16"/>
        <v/>
      </c>
      <c r="AP24" s="15">
        <f>IF(AO24="",0,AVERAGE(AO$10:AO24))</f>
        <v>0</v>
      </c>
      <c r="AQ24" s="15">
        <f>IF(AO23="",0,VAR(AO$10:AO24))</f>
        <v>0</v>
      </c>
      <c r="AS24" s="2"/>
      <c r="AT24" s="15" t="str">
        <f t="shared" si="17"/>
        <v/>
      </c>
      <c r="AU24" s="15">
        <f>IF(AT24="",0,AVERAGE(AT$10:AT24))</f>
        <v>0</v>
      </c>
      <c r="AV24" s="15">
        <f>IF(AT23="",0,VAR(AT$10:AT24))</f>
        <v>0</v>
      </c>
      <c r="AX24" s="2"/>
      <c r="AY24" s="15" t="str">
        <f t="shared" si="18"/>
        <v/>
      </c>
      <c r="AZ24" s="15">
        <f>IF(AY24="",0,AVERAGE(AY$10:AY24))</f>
        <v>0</v>
      </c>
      <c r="BA24" s="15">
        <f>IF(AY23="",0,VAR(AY$10:AY24))</f>
        <v>0</v>
      </c>
    </row>
    <row r="25" spans="3:53" x14ac:dyDescent="0.25">
      <c r="C25" s="2"/>
      <c r="E25" s="2"/>
      <c r="F25" s="15" t="str">
        <f t="shared" ref="F25" si="24">IF(E25="","",+(E25-E24)/E24)</f>
        <v/>
      </c>
      <c r="G25" s="15">
        <f>IF(F25="",0,AVERAGE($F$10:F25))</f>
        <v>0</v>
      </c>
      <c r="H25" s="15">
        <f>IF(F24="",0,VAR($F$10:F25))</f>
        <v>0</v>
      </c>
      <c r="J25" s="2"/>
      <c r="K25" s="15" t="str">
        <f t="shared" si="10"/>
        <v/>
      </c>
      <c r="L25" s="15">
        <f>IF(K25="",0,AVERAGE($K$10:K25))</f>
        <v>0</v>
      </c>
      <c r="M25" s="15">
        <f>IF(K24="",0,VAR($K$10:K25))</f>
        <v>0</v>
      </c>
      <c r="O25" s="2"/>
      <c r="P25" s="15" t="str">
        <f t="shared" si="11"/>
        <v/>
      </c>
      <c r="Q25" s="15">
        <f>IF(P25="",0,AVERAGE(P$10:P25))</f>
        <v>0</v>
      </c>
      <c r="R25" s="15">
        <f>IF(P24="",0,VAR(P$10:P25))</f>
        <v>0</v>
      </c>
      <c r="T25" s="2"/>
      <c r="U25" s="15" t="str">
        <f t="shared" si="19"/>
        <v/>
      </c>
      <c r="V25" s="15">
        <f>IF(U25="",0,AVERAGE(U$10:U25))</f>
        <v>0</v>
      </c>
      <c r="W25" s="15">
        <f>IF(U24="",0,VAR(U$10:U25))</f>
        <v>0</v>
      </c>
      <c r="Y25" s="2"/>
      <c r="Z25" s="15" t="str">
        <f t="shared" si="13"/>
        <v/>
      </c>
      <c r="AA25" s="15">
        <f>IF(Z25="",0,AVERAGE(Z$10:Z25))</f>
        <v>0</v>
      </c>
      <c r="AB25" s="15">
        <f>IF(Z24="",0,VAR(Z$10:Z25))</f>
        <v>0</v>
      </c>
      <c r="AD25" s="2"/>
      <c r="AE25" s="15" t="str">
        <f t="shared" si="20"/>
        <v/>
      </c>
      <c r="AF25" s="15">
        <f>IF(AE25="",0,AVERAGE(AE$10:AE25))</f>
        <v>0</v>
      </c>
      <c r="AG25" s="15">
        <f>IF(AE24="",0,VAR(AE$10:AE25))</f>
        <v>0</v>
      </c>
      <c r="AI25" s="2"/>
      <c r="AJ25" s="15" t="str">
        <f t="shared" si="15"/>
        <v/>
      </c>
      <c r="AK25" s="15">
        <f>IF(AJ25="",0,AVERAGE(AJ$10:AJ25))</f>
        <v>0</v>
      </c>
      <c r="AL25" s="15">
        <f>IF(AJ24="",0,VAR(AJ$10:AJ25))</f>
        <v>0</v>
      </c>
      <c r="AN25" s="2"/>
      <c r="AO25" s="15" t="str">
        <f t="shared" si="16"/>
        <v/>
      </c>
      <c r="AP25" s="15">
        <f>IF(AO25="",0,AVERAGE(AO$10:AO25))</f>
        <v>0</v>
      </c>
      <c r="AQ25" s="15">
        <f>IF(AO24="",0,VAR(AO$10:AO25))</f>
        <v>0</v>
      </c>
      <c r="AS25" s="2"/>
      <c r="AT25" s="15" t="str">
        <f t="shared" si="17"/>
        <v/>
      </c>
      <c r="AU25" s="15">
        <f>IF(AT25="",0,AVERAGE(AT$10:AT25))</f>
        <v>0</v>
      </c>
      <c r="AV25" s="15">
        <f>IF(AT24="",0,VAR(AT$10:AT25))</f>
        <v>0</v>
      </c>
      <c r="AX25" s="2"/>
      <c r="AY25" s="15" t="str">
        <f t="shared" si="18"/>
        <v/>
      </c>
      <c r="AZ25" s="15">
        <f>IF(AY25="",0,AVERAGE(AY$10:AY25))</f>
        <v>0</v>
      </c>
      <c r="BA25" s="15">
        <f>IF(AY24="",0,VAR(AY$10:AY25))</f>
        <v>0</v>
      </c>
    </row>
    <row r="26" spans="3:53" x14ac:dyDescent="0.25">
      <c r="C26" s="2"/>
      <c r="E26" s="2"/>
      <c r="F26" s="15" t="str">
        <f t="shared" si="14"/>
        <v/>
      </c>
      <c r="G26" s="15">
        <f>IF(F26="",0,AVERAGE($F$10:F26))</f>
        <v>0</v>
      </c>
      <c r="H26" s="15">
        <f>IF(F25="",0,VAR($F$10:F26))</f>
        <v>0</v>
      </c>
      <c r="J26" s="2"/>
      <c r="K26" s="15" t="str">
        <f t="shared" si="10"/>
        <v/>
      </c>
      <c r="L26" s="15">
        <f>IF(K26="",0,AVERAGE($K$10:K26))</f>
        <v>0</v>
      </c>
      <c r="M26" s="15">
        <f>IF(K25="",0,VAR($K$10:K26))</f>
        <v>0</v>
      </c>
      <c r="O26" s="2"/>
      <c r="P26" s="15" t="str">
        <f t="shared" si="11"/>
        <v/>
      </c>
      <c r="Q26" s="15">
        <f>IF(P26="",0,AVERAGE(P$10:P26))</f>
        <v>0</v>
      </c>
      <c r="R26" s="15">
        <f>IF(P25="",0,VAR(P$10:P26))</f>
        <v>0</v>
      </c>
      <c r="T26" s="2"/>
      <c r="U26" s="15" t="str">
        <f t="shared" si="19"/>
        <v/>
      </c>
      <c r="V26" s="15">
        <f>IF(U26="",0,AVERAGE(U$10:U26))</f>
        <v>0</v>
      </c>
      <c r="W26" s="15">
        <f>IF(U25="",0,VAR(U$10:U26))</f>
        <v>0</v>
      </c>
      <c r="Y26" s="2"/>
      <c r="Z26" s="15" t="str">
        <f t="shared" si="13"/>
        <v/>
      </c>
      <c r="AA26" s="15">
        <f>IF(Z26="",0,AVERAGE(Z$10:Z26))</f>
        <v>0</v>
      </c>
      <c r="AB26" s="15">
        <f>IF(Z25="",0,VAR(Z$10:Z26))</f>
        <v>0</v>
      </c>
      <c r="AD26" s="2"/>
      <c r="AE26" s="15" t="str">
        <f t="shared" si="20"/>
        <v/>
      </c>
      <c r="AF26" s="15">
        <f>IF(AE26="",0,AVERAGE(AE$10:AE26))</f>
        <v>0</v>
      </c>
      <c r="AG26" s="15">
        <f>IF(AE25="",0,VAR(AE$10:AE26))</f>
        <v>0</v>
      </c>
      <c r="AI26" s="2"/>
      <c r="AJ26" s="15" t="str">
        <f t="shared" si="15"/>
        <v/>
      </c>
      <c r="AK26" s="15">
        <f>IF(AJ26="",0,AVERAGE(AJ$10:AJ26))</f>
        <v>0</v>
      </c>
      <c r="AL26" s="15">
        <f>IF(AJ25="",0,VAR(AJ$10:AJ26))</f>
        <v>0</v>
      </c>
      <c r="AN26" s="2"/>
      <c r="AO26" s="15" t="str">
        <f t="shared" si="16"/>
        <v/>
      </c>
      <c r="AP26" s="15">
        <f>IF(AO26="",0,AVERAGE(AO$10:AO26))</f>
        <v>0</v>
      </c>
      <c r="AQ26" s="15">
        <f>IF(AO25="",0,VAR(AO$10:AO26))</f>
        <v>0</v>
      </c>
      <c r="AS26" s="2"/>
      <c r="AT26" s="15" t="str">
        <f t="shared" si="17"/>
        <v/>
      </c>
      <c r="AU26" s="15">
        <f>IF(AT26="",0,AVERAGE(AT$10:AT26))</f>
        <v>0</v>
      </c>
      <c r="AV26" s="15">
        <f>IF(AT25="",0,VAR(AT$10:AT26))</f>
        <v>0</v>
      </c>
      <c r="AX26" s="2"/>
      <c r="AY26" s="15" t="str">
        <f t="shared" si="18"/>
        <v/>
      </c>
      <c r="AZ26" s="15">
        <f>IF(AY26="",0,AVERAGE(AY$10:AY26))</f>
        <v>0</v>
      </c>
      <c r="BA26" s="15">
        <f>IF(AY25="",0,VAR(AY$10:AY26))</f>
        <v>0</v>
      </c>
    </row>
    <row r="27" spans="3:53" x14ac:dyDescent="0.25">
      <c r="C27" s="2"/>
      <c r="E27" s="2"/>
      <c r="F27" s="15"/>
      <c r="G27" s="15">
        <f>IF(F27="",0,AVERAGE($F$10:F27))</f>
        <v>0</v>
      </c>
      <c r="H27" s="15">
        <f>IF(F26="",0,VAR($F$10:F27))</f>
        <v>0</v>
      </c>
      <c r="J27" s="2"/>
      <c r="K27" s="15" t="str">
        <f t="shared" si="10"/>
        <v/>
      </c>
      <c r="L27" s="15">
        <f>IF(K27="",0,AVERAGE($K$10:K27))</f>
        <v>0</v>
      </c>
      <c r="M27" s="15">
        <f>IF(K26="",0,VAR($K$10:K27))</f>
        <v>0</v>
      </c>
      <c r="O27" s="2"/>
      <c r="P27" s="15" t="str">
        <f t="shared" si="11"/>
        <v/>
      </c>
      <c r="Q27" s="15">
        <f>IF(P27="",0,AVERAGE(P$10:P27))</f>
        <v>0</v>
      </c>
      <c r="R27" s="15">
        <f>IF(P26="",0,VAR(P$10:P27))</f>
        <v>0</v>
      </c>
      <c r="T27" s="2"/>
      <c r="U27" s="15" t="str">
        <f t="shared" si="19"/>
        <v/>
      </c>
      <c r="V27" s="15">
        <f>IF(U27="",0,AVERAGE(U$10:U27))</f>
        <v>0</v>
      </c>
      <c r="W27" s="15">
        <f>IF(U26="",0,VAR(U$10:U27))</f>
        <v>0</v>
      </c>
      <c r="Y27" s="2"/>
      <c r="Z27" s="15" t="str">
        <f t="shared" si="13"/>
        <v/>
      </c>
      <c r="AA27" s="15">
        <f>IF(Z27="",0,AVERAGE(Z$10:Z27))</f>
        <v>0</v>
      </c>
      <c r="AB27" s="15">
        <f>IF(Z26="",0,VAR(Z$10:Z27))</f>
        <v>0</v>
      </c>
      <c r="AD27" s="2"/>
      <c r="AE27" s="15" t="str">
        <f t="shared" si="20"/>
        <v/>
      </c>
      <c r="AF27" s="15">
        <f>IF(AE27="",0,AVERAGE(AE$10:AE27))</f>
        <v>0</v>
      </c>
      <c r="AG27" s="15">
        <f>IF(AE26="",0,VAR(AE$10:AE27))</f>
        <v>0</v>
      </c>
      <c r="AI27" s="2"/>
      <c r="AJ27" s="15" t="str">
        <f t="shared" si="15"/>
        <v/>
      </c>
      <c r="AK27" s="15">
        <f>IF(AJ27="",0,AVERAGE(AJ$10:AJ27))</f>
        <v>0</v>
      </c>
      <c r="AL27" s="15">
        <f>IF(AJ26="",0,VAR(AJ$10:AJ27))</f>
        <v>0</v>
      </c>
      <c r="AN27" s="2"/>
      <c r="AO27" s="15" t="str">
        <f t="shared" si="16"/>
        <v/>
      </c>
      <c r="AP27" s="15">
        <f>IF(AO27="",0,AVERAGE(AO$10:AO27))</f>
        <v>0</v>
      </c>
      <c r="AQ27" s="15">
        <f>IF(AO26="",0,VAR(AO$10:AO27))</f>
        <v>0</v>
      </c>
      <c r="AS27" s="2"/>
      <c r="AT27" s="15" t="str">
        <f t="shared" si="17"/>
        <v/>
      </c>
      <c r="AU27" s="15">
        <f>IF(AT27="",0,AVERAGE(AT$10:AT27))</f>
        <v>0</v>
      </c>
      <c r="AV27" s="15">
        <f>IF(AT26="",0,VAR(AT$10:AT27))</f>
        <v>0</v>
      </c>
      <c r="AX27" s="2"/>
      <c r="AY27" s="15" t="str">
        <f t="shared" si="18"/>
        <v/>
      </c>
      <c r="AZ27" s="15">
        <f>IF(AY27="",0,AVERAGE(AY$10:AY27))</f>
        <v>0</v>
      </c>
      <c r="BA27" s="15">
        <f>IF(AY26="",0,VAR(AY$10:AY27))</f>
        <v>0</v>
      </c>
    </row>
    <row r="28" spans="3:53" x14ac:dyDescent="0.25">
      <c r="C28" s="2"/>
      <c r="E28" s="2"/>
      <c r="F28" s="15" t="str">
        <f t="shared" ref="F28" si="25">IF(E28="","",+(E28-E27)/E27)</f>
        <v/>
      </c>
      <c r="G28" s="15">
        <f>IF(F28="",0,AVERAGE($F$10:F28))</f>
        <v>0</v>
      </c>
      <c r="H28" s="15">
        <f>IF(F27="",0,VAR($F$10:F28))</f>
        <v>0</v>
      </c>
      <c r="J28" s="2"/>
      <c r="K28" s="15" t="str">
        <f t="shared" si="10"/>
        <v/>
      </c>
      <c r="L28" s="15">
        <f>IF(K28="",0,AVERAGE($K$10:K28))</f>
        <v>0</v>
      </c>
      <c r="M28" s="15">
        <f>IF(K27="",0,VAR($K$10:K28))</f>
        <v>0</v>
      </c>
      <c r="O28" s="2"/>
      <c r="P28" s="15" t="str">
        <f t="shared" si="11"/>
        <v/>
      </c>
      <c r="Q28" s="15">
        <f>IF(P28="",0,AVERAGE(P$10:P28))</f>
        <v>0</v>
      </c>
      <c r="R28" s="15">
        <f>IF(P27="",0,VAR(P$10:P28))</f>
        <v>0</v>
      </c>
      <c r="T28" s="2"/>
      <c r="U28" s="15" t="str">
        <f t="shared" si="19"/>
        <v/>
      </c>
      <c r="V28" s="15">
        <f>IF(U28="",0,AVERAGE(U$10:U28))</f>
        <v>0</v>
      </c>
      <c r="W28" s="15">
        <f>IF(U27="",0,VAR(U$10:U28))</f>
        <v>0</v>
      </c>
      <c r="Y28" s="2"/>
      <c r="Z28" s="15" t="str">
        <f t="shared" si="13"/>
        <v/>
      </c>
      <c r="AA28" s="15">
        <f>IF(Z28="",0,AVERAGE(Z$10:Z28))</f>
        <v>0</v>
      </c>
      <c r="AB28" s="15">
        <f>IF(Z27="",0,VAR(Z$10:Z28))</f>
        <v>0</v>
      </c>
      <c r="AD28" s="2"/>
      <c r="AE28" s="15" t="str">
        <f t="shared" si="20"/>
        <v/>
      </c>
      <c r="AF28" s="15">
        <f>IF(AE28="",0,AVERAGE(AE$10:AE28))</f>
        <v>0</v>
      </c>
      <c r="AG28" s="15">
        <f>IF(AE27="",0,VAR(AE$10:AE28))</f>
        <v>0</v>
      </c>
      <c r="AI28" s="2"/>
      <c r="AJ28" s="15" t="str">
        <f t="shared" si="15"/>
        <v/>
      </c>
      <c r="AK28" s="15">
        <f>IF(AJ28="",0,AVERAGE(AJ$10:AJ28))</f>
        <v>0</v>
      </c>
      <c r="AL28" s="15">
        <f>IF(AJ27="",0,VAR(AJ$10:AJ28))</f>
        <v>0</v>
      </c>
      <c r="AN28" s="2"/>
      <c r="AO28" s="15" t="str">
        <f t="shared" si="16"/>
        <v/>
      </c>
      <c r="AP28" s="15">
        <f>IF(AO28="",0,AVERAGE(AO$10:AO28))</f>
        <v>0</v>
      </c>
      <c r="AQ28" s="15">
        <f>IF(AO27="",0,VAR(AO$10:AO28))</f>
        <v>0</v>
      </c>
      <c r="AS28" s="2"/>
      <c r="AT28" s="15" t="str">
        <f t="shared" si="17"/>
        <v/>
      </c>
      <c r="AU28" s="15">
        <f>IF(AT28="",0,AVERAGE(AT$10:AT28))</f>
        <v>0</v>
      </c>
      <c r="AV28" s="15">
        <f>IF(AT27="",0,VAR(AT$10:AT28))</f>
        <v>0</v>
      </c>
      <c r="AX28" s="2"/>
      <c r="AY28" s="15" t="str">
        <f t="shared" si="18"/>
        <v/>
      </c>
      <c r="AZ28" s="15">
        <f>IF(AY28="",0,AVERAGE(AY$10:AY28))</f>
        <v>0</v>
      </c>
      <c r="BA28" s="15">
        <f>IF(AY27="",0,VAR(AY$10:AY28))</f>
        <v>0</v>
      </c>
    </row>
    <row r="29" spans="3:53" x14ac:dyDescent="0.25">
      <c r="C29" s="2"/>
      <c r="E29" s="2"/>
      <c r="F29" s="15" t="str">
        <f t="shared" si="14"/>
        <v/>
      </c>
      <c r="G29" s="15">
        <f>IF(F29="",0,AVERAGE($F$10:F29))</f>
        <v>0</v>
      </c>
      <c r="H29" s="15">
        <f>IF(F28="",0,VAR($F$10:F29))</f>
        <v>0</v>
      </c>
      <c r="J29" s="2"/>
      <c r="K29" s="15" t="str">
        <f t="shared" si="10"/>
        <v/>
      </c>
      <c r="L29" s="15">
        <f>IF(K29="",0,AVERAGE($K$10:K29))</f>
        <v>0</v>
      </c>
      <c r="M29" s="15">
        <f>IF(K28="",0,VAR($K$10:K29))</f>
        <v>0</v>
      </c>
      <c r="O29" s="2"/>
      <c r="P29" s="15" t="str">
        <f t="shared" si="11"/>
        <v/>
      </c>
      <c r="Q29" s="15">
        <f>IF(P29="",0,AVERAGE(P$10:P29))</f>
        <v>0</v>
      </c>
      <c r="R29" s="15">
        <f>IF(P28="",0,VAR(P$10:P29))</f>
        <v>0</v>
      </c>
      <c r="T29" s="2"/>
      <c r="U29" s="15" t="str">
        <f t="shared" si="19"/>
        <v/>
      </c>
      <c r="V29" s="15">
        <f>IF(U29="",0,AVERAGE(U$10:U29))</f>
        <v>0</v>
      </c>
      <c r="W29" s="15">
        <f>IF(U28="",0,VAR(U$10:U29))</f>
        <v>0</v>
      </c>
      <c r="Y29" s="2"/>
      <c r="Z29" s="15" t="str">
        <f t="shared" si="13"/>
        <v/>
      </c>
      <c r="AA29" s="15">
        <f>IF(Z29="",0,AVERAGE(Z$10:Z29))</f>
        <v>0</v>
      </c>
      <c r="AB29" s="15">
        <f>IF(Z28="",0,VAR(Z$10:Z29))</f>
        <v>0</v>
      </c>
      <c r="AD29" s="2"/>
      <c r="AE29" s="15" t="str">
        <f t="shared" si="20"/>
        <v/>
      </c>
      <c r="AF29" s="15">
        <f>IF(AE29="",0,AVERAGE(AE$10:AE29))</f>
        <v>0</v>
      </c>
      <c r="AG29" s="15">
        <f>IF(AE28="",0,VAR(AE$10:AE29))</f>
        <v>0</v>
      </c>
      <c r="AI29" s="2"/>
      <c r="AJ29" s="15" t="str">
        <f t="shared" si="15"/>
        <v/>
      </c>
      <c r="AK29" s="15">
        <f>IF(AJ29="",0,AVERAGE(AJ$10:AJ29))</f>
        <v>0</v>
      </c>
      <c r="AL29" s="15">
        <f>IF(AJ28="",0,VAR(AJ$10:AJ29))</f>
        <v>0</v>
      </c>
      <c r="AN29" s="2"/>
      <c r="AO29" s="15" t="str">
        <f t="shared" si="16"/>
        <v/>
      </c>
      <c r="AP29" s="15">
        <f>IF(AO29="",0,AVERAGE(AO$10:AO29))</f>
        <v>0</v>
      </c>
      <c r="AQ29" s="15">
        <f>IF(AO28="",0,VAR(AO$10:AO29))</f>
        <v>0</v>
      </c>
      <c r="AS29" s="2"/>
      <c r="AT29" s="15" t="str">
        <f t="shared" si="17"/>
        <v/>
      </c>
      <c r="AU29" s="15">
        <f>IF(AT29="",0,AVERAGE(AT$10:AT29))</f>
        <v>0</v>
      </c>
      <c r="AV29" s="15">
        <f>IF(AT28="",0,VAR(AT$10:AT29))</f>
        <v>0</v>
      </c>
      <c r="AX29" s="2"/>
      <c r="AY29" s="15" t="str">
        <f t="shared" si="18"/>
        <v/>
      </c>
      <c r="AZ29" s="15">
        <f>IF(AY29="",0,AVERAGE(AY$10:AY29))</f>
        <v>0</v>
      </c>
      <c r="BA29" s="15">
        <f>IF(AY28="",0,VAR(AY$10:AY29))</f>
        <v>0</v>
      </c>
    </row>
    <row r="30" spans="3:53" x14ac:dyDescent="0.25">
      <c r="C30" s="2"/>
      <c r="E30" s="2"/>
      <c r="F30" s="15"/>
      <c r="G30" s="15">
        <f>IF(F30="",0,AVERAGE($F$10:F30))</f>
        <v>0</v>
      </c>
      <c r="H30" s="15">
        <f>IF(F29="",0,VAR($F$10:F30))</f>
        <v>0</v>
      </c>
      <c r="J30" s="2"/>
      <c r="K30" s="15" t="str">
        <f t="shared" si="10"/>
        <v/>
      </c>
      <c r="L30" s="15">
        <f>IF(K30="",0,AVERAGE($K$10:K30))</f>
        <v>0</v>
      </c>
      <c r="M30" s="15">
        <f>IF(K29="",0,VAR($K$10:K30))</f>
        <v>0</v>
      </c>
      <c r="O30" s="2"/>
      <c r="P30" s="15" t="str">
        <f t="shared" si="11"/>
        <v/>
      </c>
      <c r="Q30" s="15">
        <f>IF(P30="",0,AVERAGE(P$10:P30))</f>
        <v>0</v>
      </c>
      <c r="R30" s="15">
        <f>IF(P29="",0,VAR(P$10:P30))</f>
        <v>0</v>
      </c>
      <c r="T30" s="2"/>
      <c r="U30" s="15" t="str">
        <f t="shared" si="19"/>
        <v/>
      </c>
      <c r="V30" s="15">
        <f>IF(U30="",0,AVERAGE(U$10:U30))</f>
        <v>0</v>
      </c>
      <c r="W30" s="15">
        <f>IF(U29="",0,VAR(U$10:U30))</f>
        <v>0</v>
      </c>
      <c r="Y30" s="2"/>
      <c r="Z30" s="15" t="str">
        <f t="shared" si="13"/>
        <v/>
      </c>
      <c r="AA30" s="15">
        <f>IF(Z30="",0,AVERAGE(Z$10:Z30))</f>
        <v>0</v>
      </c>
      <c r="AB30" s="15">
        <f>IF(Z29="",0,VAR(Z$10:Z30))</f>
        <v>0</v>
      </c>
      <c r="AD30" s="2"/>
      <c r="AE30" s="15" t="str">
        <f t="shared" si="20"/>
        <v/>
      </c>
      <c r="AF30" s="15">
        <f>IF(AE30="",0,AVERAGE(AE$10:AE30))</f>
        <v>0</v>
      </c>
      <c r="AG30" s="15">
        <f>IF(AE29="",0,VAR(AE$10:AE30))</f>
        <v>0</v>
      </c>
      <c r="AI30" s="2"/>
      <c r="AJ30" s="15" t="str">
        <f t="shared" si="15"/>
        <v/>
      </c>
      <c r="AK30" s="15">
        <f>IF(AJ30="",0,AVERAGE(AJ$10:AJ30))</f>
        <v>0</v>
      </c>
      <c r="AL30" s="15">
        <f>IF(AJ29="",0,VAR(AJ$10:AJ30))</f>
        <v>0</v>
      </c>
      <c r="AN30" s="2"/>
      <c r="AO30" s="15" t="str">
        <f t="shared" si="16"/>
        <v/>
      </c>
      <c r="AP30" s="15">
        <f>IF(AO30="",0,AVERAGE(AO$10:AO30))</f>
        <v>0</v>
      </c>
      <c r="AQ30" s="15">
        <f>IF(AO29="",0,VAR(AO$10:AO30))</f>
        <v>0</v>
      </c>
      <c r="AS30" s="2"/>
      <c r="AT30" s="15" t="str">
        <f t="shared" si="17"/>
        <v/>
      </c>
      <c r="AU30" s="15">
        <f>IF(AT30="",0,AVERAGE(AT$10:AT30))</f>
        <v>0</v>
      </c>
      <c r="AV30" s="15">
        <f>IF(AT29="",0,VAR(AT$10:AT30))</f>
        <v>0</v>
      </c>
      <c r="AX30" s="2"/>
      <c r="AY30" s="15" t="str">
        <f t="shared" si="18"/>
        <v/>
      </c>
      <c r="AZ30" s="15">
        <f>IF(AY30="",0,AVERAGE(AY$10:AY30))</f>
        <v>0</v>
      </c>
      <c r="BA30" s="15">
        <f>IF(AY29="",0,VAR(AY$10:AY30))</f>
        <v>0</v>
      </c>
    </row>
    <row r="31" spans="3:53" x14ac:dyDescent="0.25">
      <c r="C31" s="2"/>
      <c r="E31" s="2"/>
      <c r="F31" s="15" t="str">
        <f t="shared" ref="F31" si="26">IF(E31="","",+(E31-E30)/E30)</f>
        <v/>
      </c>
      <c r="G31" s="15">
        <f>IF(F31="",0,AVERAGE($F$10:F31))</f>
        <v>0</v>
      </c>
      <c r="H31" s="15">
        <f>IF(F30="",0,VAR($F$10:F31))</f>
        <v>0</v>
      </c>
      <c r="J31" s="2"/>
      <c r="K31" s="15" t="str">
        <f t="shared" si="10"/>
        <v/>
      </c>
      <c r="L31" s="15">
        <f>IF(K31="",0,AVERAGE($K$10:K31))</f>
        <v>0</v>
      </c>
      <c r="M31" s="15">
        <f>IF(K30="",0,VAR($K$10:K31))</f>
        <v>0</v>
      </c>
      <c r="O31" s="2"/>
      <c r="P31" s="15" t="str">
        <f t="shared" si="11"/>
        <v/>
      </c>
      <c r="Q31" s="15">
        <f>IF(P31="",0,AVERAGE(P$10:P31))</f>
        <v>0</v>
      </c>
      <c r="R31" s="15">
        <f>IF(P30="",0,VAR(P$10:P31))</f>
        <v>0</v>
      </c>
      <c r="T31" s="2"/>
      <c r="U31" s="15" t="str">
        <f t="shared" si="19"/>
        <v/>
      </c>
      <c r="V31" s="15">
        <f>IF(U31="",0,AVERAGE(U$10:U31))</f>
        <v>0</v>
      </c>
      <c r="W31" s="15">
        <f>IF(U30="",0,VAR(U$10:U31))</f>
        <v>0</v>
      </c>
      <c r="Y31" s="2"/>
      <c r="Z31" s="15" t="str">
        <f t="shared" si="13"/>
        <v/>
      </c>
      <c r="AA31" s="15">
        <f>IF(Z31="",0,AVERAGE(Z$10:Z31))</f>
        <v>0</v>
      </c>
      <c r="AB31" s="15">
        <f>IF(Z30="",0,VAR(Z$10:Z31))</f>
        <v>0</v>
      </c>
      <c r="AD31" s="2"/>
      <c r="AE31" s="15" t="str">
        <f t="shared" si="20"/>
        <v/>
      </c>
      <c r="AF31" s="15">
        <f>IF(AE31="",0,AVERAGE(AE$10:AE31))</f>
        <v>0</v>
      </c>
      <c r="AG31" s="15">
        <f>IF(AE30="",0,VAR(AE$10:AE31))</f>
        <v>0</v>
      </c>
      <c r="AI31" s="2"/>
      <c r="AJ31" s="15" t="str">
        <f t="shared" si="15"/>
        <v/>
      </c>
      <c r="AK31" s="15">
        <f>IF(AJ31="",0,AVERAGE(AJ$10:AJ31))</f>
        <v>0</v>
      </c>
      <c r="AL31" s="15">
        <f>IF(AJ30="",0,VAR(AJ$10:AJ31))</f>
        <v>0</v>
      </c>
      <c r="AN31" s="2"/>
      <c r="AO31" s="15" t="str">
        <f t="shared" si="16"/>
        <v/>
      </c>
      <c r="AP31" s="15">
        <f>IF(AO31="",0,AVERAGE(AO$10:AO31))</f>
        <v>0</v>
      </c>
      <c r="AQ31" s="15">
        <f>IF(AO30="",0,VAR(AO$10:AO31))</f>
        <v>0</v>
      </c>
      <c r="AS31" s="2"/>
      <c r="AT31" s="15" t="str">
        <f t="shared" si="17"/>
        <v/>
      </c>
      <c r="AU31" s="15">
        <f>IF(AT31="",0,AVERAGE(AT$10:AT31))</f>
        <v>0</v>
      </c>
      <c r="AV31" s="15">
        <f>IF(AT30="",0,VAR(AT$10:AT31))</f>
        <v>0</v>
      </c>
      <c r="AX31" s="2"/>
      <c r="AY31" s="15" t="str">
        <f t="shared" si="18"/>
        <v/>
      </c>
      <c r="AZ31" s="15">
        <f>IF(AY31="",0,AVERAGE(AY$10:AY31))</f>
        <v>0</v>
      </c>
      <c r="BA31" s="15">
        <f>IF(AY30="",0,VAR(AY$10:AY31))</f>
        <v>0</v>
      </c>
    </row>
    <row r="32" spans="3:53" x14ac:dyDescent="0.25">
      <c r="C32" s="2"/>
      <c r="E32" s="2"/>
      <c r="F32" s="15" t="str">
        <f t="shared" si="14"/>
        <v/>
      </c>
      <c r="G32" s="15">
        <f>IF(F32="",0,AVERAGE($F$10:F32))</f>
        <v>0</v>
      </c>
      <c r="H32" s="15">
        <f>IF(F31="",0,VAR($F$10:F32))</f>
        <v>0</v>
      </c>
      <c r="J32" s="2"/>
      <c r="K32" s="15" t="str">
        <f t="shared" si="10"/>
        <v/>
      </c>
      <c r="L32" s="15">
        <f>IF(K32="",0,AVERAGE($K$10:K32))</f>
        <v>0</v>
      </c>
      <c r="M32" s="15">
        <f>IF(K31="",0,VAR($K$10:K32))</f>
        <v>0</v>
      </c>
      <c r="O32" s="2"/>
      <c r="P32" s="15" t="str">
        <f t="shared" si="11"/>
        <v/>
      </c>
      <c r="Q32" s="15">
        <f>IF(P32="",0,AVERAGE(P$10:P32))</f>
        <v>0</v>
      </c>
      <c r="R32" s="15">
        <f>IF(P31="",0,VAR(P$10:P32))</f>
        <v>0</v>
      </c>
      <c r="T32" s="2"/>
      <c r="U32" s="15" t="str">
        <f t="shared" si="19"/>
        <v/>
      </c>
      <c r="V32" s="15">
        <f>IF(U32="",0,AVERAGE(U$10:U32))</f>
        <v>0</v>
      </c>
      <c r="W32" s="15">
        <f>IF(U31="",0,VAR(U$10:U32))</f>
        <v>0</v>
      </c>
      <c r="Y32" s="2"/>
      <c r="Z32" s="15" t="str">
        <f t="shared" si="13"/>
        <v/>
      </c>
      <c r="AA32" s="15">
        <f>IF(Z32="",0,AVERAGE(Z$10:Z32))</f>
        <v>0</v>
      </c>
      <c r="AB32" s="15">
        <f>IF(Z31="",0,VAR(Z$10:Z32))</f>
        <v>0</v>
      </c>
      <c r="AD32" s="2"/>
      <c r="AE32" s="15" t="str">
        <f t="shared" si="20"/>
        <v/>
      </c>
      <c r="AF32" s="15">
        <f>IF(AE32="",0,AVERAGE(AE$10:AE32))</f>
        <v>0</v>
      </c>
      <c r="AG32" s="15">
        <f>IF(AE31="",0,VAR(AE$10:AE32))</f>
        <v>0</v>
      </c>
      <c r="AI32" s="2"/>
      <c r="AJ32" s="15" t="str">
        <f t="shared" si="15"/>
        <v/>
      </c>
      <c r="AK32" s="15">
        <f>IF(AJ32="",0,AVERAGE(AJ$10:AJ32))</f>
        <v>0</v>
      </c>
      <c r="AL32" s="15">
        <f>IF(AJ31="",0,VAR(AJ$10:AJ32))</f>
        <v>0</v>
      </c>
      <c r="AN32" s="2"/>
      <c r="AO32" s="15" t="str">
        <f t="shared" si="16"/>
        <v/>
      </c>
      <c r="AP32" s="15">
        <f>IF(AO32="",0,AVERAGE(AO$10:AO32))</f>
        <v>0</v>
      </c>
      <c r="AQ32" s="15">
        <f>IF(AO31="",0,VAR(AO$10:AO32))</f>
        <v>0</v>
      </c>
      <c r="AS32" s="2"/>
      <c r="AT32" s="15" t="str">
        <f t="shared" si="17"/>
        <v/>
      </c>
      <c r="AU32" s="15">
        <f>IF(AT32="",0,AVERAGE(AT$10:AT32))</f>
        <v>0</v>
      </c>
      <c r="AV32" s="15">
        <f>IF(AT31="",0,VAR(AT$10:AT32))</f>
        <v>0</v>
      </c>
      <c r="AX32" s="2"/>
      <c r="AY32" s="15" t="str">
        <f t="shared" si="18"/>
        <v/>
      </c>
      <c r="AZ32" s="15">
        <f>IF(AY32="",0,AVERAGE(AY$10:AY32))</f>
        <v>0</v>
      </c>
      <c r="BA32" s="15">
        <f>IF(AY31="",0,VAR(AY$10:AY32))</f>
        <v>0</v>
      </c>
    </row>
    <row r="33" spans="3:53" x14ac:dyDescent="0.25">
      <c r="C33" s="2"/>
      <c r="E33" s="2"/>
      <c r="F33" s="15"/>
      <c r="G33" s="15">
        <f>IF(F33="",0,AVERAGE($F$10:F33))</f>
        <v>0</v>
      </c>
      <c r="H33" s="15">
        <f>IF(F32="",0,VAR($F$10:F33))</f>
        <v>0</v>
      </c>
      <c r="J33" s="2"/>
      <c r="K33" s="15" t="str">
        <f t="shared" si="10"/>
        <v/>
      </c>
      <c r="L33" s="15">
        <f>IF(K33="",0,AVERAGE($K$10:K33))</f>
        <v>0</v>
      </c>
      <c r="M33" s="15">
        <f>IF(K32="",0,VAR($K$10:K33))</f>
        <v>0</v>
      </c>
      <c r="O33" s="2"/>
      <c r="P33" s="15" t="str">
        <f t="shared" si="11"/>
        <v/>
      </c>
      <c r="Q33" s="15">
        <f>IF(P33="",0,AVERAGE(P$10:P33))</f>
        <v>0</v>
      </c>
      <c r="R33" s="15">
        <f>IF(P32="",0,VAR(P$10:P33))</f>
        <v>0</v>
      </c>
      <c r="T33" s="2"/>
      <c r="U33" s="15" t="str">
        <f t="shared" si="19"/>
        <v/>
      </c>
      <c r="V33" s="15">
        <f>IF(U33="",0,AVERAGE(U$10:U33))</f>
        <v>0</v>
      </c>
      <c r="W33" s="15">
        <f>IF(U32="",0,VAR(U$10:U33))</f>
        <v>0</v>
      </c>
      <c r="Y33" s="2"/>
      <c r="Z33" s="15" t="str">
        <f t="shared" si="13"/>
        <v/>
      </c>
      <c r="AA33" s="15">
        <f>IF(Z33="",0,AVERAGE(Z$10:Z33))</f>
        <v>0</v>
      </c>
      <c r="AB33" s="15">
        <f>IF(Z32="",0,VAR(Z$10:Z33))</f>
        <v>0</v>
      </c>
      <c r="AD33" s="2"/>
      <c r="AE33" s="15" t="str">
        <f t="shared" si="20"/>
        <v/>
      </c>
      <c r="AF33" s="15">
        <f>IF(AE33="",0,AVERAGE(AE$10:AE33))</f>
        <v>0</v>
      </c>
      <c r="AG33" s="15">
        <f>IF(AE32="",0,VAR(AE$10:AE33))</f>
        <v>0</v>
      </c>
      <c r="AI33" s="2"/>
      <c r="AJ33" s="15" t="str">
        <f t="shared" si="15"/>
        <v/>
      </c>
      <c r="AK33" s="15">
        <f>IF(AJ33="",0,AVERAGE(AJ$10:AJ33))</f>
        <v>0</v>
      </c>
      <c r="AL33" s="15">
        <f>IF(AJ32="",0,VAR(AJ$10:AJ33))</f>
        <v>0</v>
      </c>
      <c r="AN33" s="2"/>
      <c r="AO33" s="15" t="str">
        <f t="shared" si="16"/>
        <v/>
      </c>
      <c r="AP33" s="15">
        <f>IF(AO33="",0,AVERAGE(AO$10:AO33))</f>
        <v>0</v>
      </c>
      <c r="AQ33" s="15">
        <f>IF(AO32="",0,VAR(AO$10:AO33))</f>
        <v>0</v>
      </c>
      <c r="AS33" s="2"/>
      <c r="AT33" s="15" t="str">
        <f t="shared" si="17"/>
        <v/>
      </c>
      <c r="AU33" s="15">
        <f>IF(AT33="",0,AVERAGE(AT$10:AT33))</f>
        <v>0</v>
      </c>
      <c r="AV33" s="15">
        <f>IF(AT32="",0,VAR(AT$10:AT33))</f>
        <v>0</v>
      </c>
      <c r="AX33" s="2"/>
      <c r="AY33" s="15" t="str">
        <f t="shared" si="18"/>
        <v/>
      </c>
      <c r="AZ33" s="15">
        <f>IF(AY33="",0,AVERAGE(AY$10:AY33))</f>
        <v>0</v>
      </c>
      <c r="BA33" s="15">
        <f>IF(AY32="",0,VAR(AY$10:AY33))</f>
        <v>0</v>
      </c>
    </row>
    <row r="34" spans="3:53" x14ac:dyDescent="0.25">
      <c r="C34" s="2"/>
      <c r="E34" s="2"/>
      <c r="F34" s="15" t="str">
        <f t="shared" ref="F34" si="27">IF(E34="","",+(E34-E33)/E33)</f>
        <v/>
      </c>
      <c r="G34" s="15">
        <f>IF(F34="",0,AVERAGE($F$10:F34))</f>
        <v>0</v>
      </c>
      <c r="H34" s="15">
        <f>IF(F33="",0,VAR($F$10:F34))</f>
        <v>0</v>
      </c>
      <c r="J34" s="2"/>
      <c r="K34" s="15" t="str">
        <f t="shared" si="10"/>
        <v/>
      </c>
      <c r="L34" s="15">
        <f>IF(K34="",0,AVERAGE($K$10:K34))</f>
        <v>0</v>
      </c>
      <c r="M34" s="15">
        <f>IF(K33="",0,VAR($K$10:K34))</f>
        <v>0</v>
      </c>
      <c r="O34" s="2"/>
      <c r="P34" s="15" t="str">
        <f t="shared" si="11"/>
        <v/>
      </c>
      <c r="Q34" s="15">
        <f>IF(P34="",0,AVERAGE(P$10:P34))</f>
        <v>0</v>
      </c>
      <c r="R34" s="15">
        <f>IF(P33="",0,VAR(P$10:P34))</f>
        <v>0</v>
      </c>
      <c r="T34" s="2"/>
      <c r="U34" s="15" t="str">
        <f t="shared" si="19"/>
        <v/>
      </c>
      <c r="V34" s="15">
        <f>IF(U34="",0,AVERAGE(U$10:U34))</f>
        <v>0</v>
      </c>
      <c r="W34" s="15">
        <f>IF(U33="",0,VAR(U$10:U34))</f>
        <v>0</v>
      </c>
      <c r="Y34" s="2"/>
      <c r="Z34" s="15" t="str">
        <f t="shared" si="13"/>
        <v/>
      </c>
      <c r="AA34" s="15">
        <f>IF(Z34="",0,AVERAGE(Z$10:Z34))</f>
        <v>0</v>
      </c>
      <c r="AB34" s="15">
        <f>IF(Z33="",0,VAR(Z$10:Z34))</f>
        <v>0</v>
      </c>
      <c r="AD34" s="2"/>
      <c r="AE34" s="15" t="str">
        <f t="shared" si="20"/>
        <v/>
      </c>
      <c r="AF34" s="15">
        <f>IF(AE34="",0,AVERAGE(AE$10:AE34))</f>
        <v>0</v>
      </c>
      <c r="AG34" s="15">
        <f>IF(AE33="",0,VAR(AE$10:AE34))</f>
        <v>0</v>
      </c>
      <c r="AI34" s="2"/>
      <c r="AJ34" s="15" t="str">
        <f t="shared" si="15"/>
        <v/>
      </c>
      <c r="AK34" s="15">
        <f>IF(AJ34="",0,AVERAGE(AJ$10:AJ34))</f>
        <v>0</v>
      </c>
      <c r="AL34" s="15">
        <f>IF(AJ33="",0,VAR(AJ$10:AJ34))</f>
        <v>0</v>
      </c>
      <c r="AN34" s="2"/>
      <c r="AO34" s="15" t="str">
        <f t="shared" si="16"/>
        <v/>
      </c>
      <c r="AP34" s="15">
        <f>IF(AO34="",0,AVERAGE(AO$10:AO34))</f>
        <v>0</v>
      </c>
      <c r="AQ34" s="15">
        <f>IF(AO33="",0,VAR(AO$10:AO34))</f>
        <v>0</v>
      </c>
      <c r="AS34" s="2"/>
      <c r="AT34" s="15" t="str">
        <f t="shared" si="17"/>
        <v/>
      </c>
      <c r="AU34" s="15">
        <f>IF(AT34="",0,AVERAGE(AT$10:AT34))</f>
        <v>0</v>
      </c>
      <c r="AV34" s="15">
        <f>IF(AT33="",0,VAR(AT$10:AT34))</f>
        <v>0</v>
      </c>
      <c r="AX34" s="2"/>
      <c r="AY34" s="15" t="str">
        <f t="shared" si="18"/>
        <v/>
      </c>
      <c r="AZ34" s="15">
        <f>IF(AY34="",0,AVERAGE(AY$10:AY34))</f>
        <v>0</v>
      </c>
      <c r="BA34" s="15">
        <f>IF(AY33="",0,VAR(AY$10:AY34))</f>
        <v>0</v>
      </c>
    </row>
    <row r="35" spans="3:53" x14ac:dyDescent="0.25">
      <c r="C35" s="2"/>
      <c r="E35" s="2"/>
      <c r="F35" s="15" t="str">
        <f t="shared" si="14"/>
        <v/>
      </c>
      <c r="G35" s="15">
        <f>IF(F35="",0,AVERAGE($F$10:F35))</f>
        <v>0</v>
      </c>
      <c r="H35" s="15">
        <f>IF(F34="",0,VAR($F$10:F35))</f>
        <v>0</v>
      </c>
      <c r="J35" s="2"/>
      <c r="K35" s="15" t="str">
        <f t="shared" si="10"/>
        <v/>
      </c>
      <c r="L35" s="15">
        <f>IF(K35="",0,AVERAGE($K$10:K35))</f>
        <v>0</v>
      </c>
      <c r="M35" s="15">
        <f>IF(K34="",0,VAR($K$10:K35))</f>
        <v>0</v>
      </c>
      <c r="O35" s="2"/>
      <c r="P35" s="15" t="str">
        <f t="shared" si="11"/>
        <v/>
      </c>
      <c r="Q35" s="15">
        <f>IF(P35="",0,AVERAGE(P$10:P35))</f>
        <v>0</v>
      </c>
      <c r="R35" s="15">
        <f>IF(P34="",0,VAR(P$10:P35))</f>
        <v>0</v>
      </c>
      <c r="T35" s="2"/>
      <c r="U35" s="15" t="str">
        <f t="shared" si="19"/>
        <v/>
      </c>
      <c r="V35" s="15">
        <f>IF(U35="",0,AVERAGE(U$10:U35))</f>
        <v>0</v>
      </c>
      <c r="W35" s="15">
        <f>IF(U34="",0,VAR(U$10:U35))</f>
        <v>0</v>
      </c>
      <c r="Y35" s="2"/>
      <c r="Z35" s="15" t="str">
        <f t="shared" si="13"/>
        <v/>
      </c>
      <c r="AA35" s="15">
        <f>IF(Z35="",0,AVERAGE(Z$10:Z35))</f>
        <v>0</v>
      </c>
      <c r="AB35" s="15">
        <f>IF(Z34="",0,VAR(Z$10:Z35))</f>
        <v>0</v>
      </c>
      <c r="AD35" s="2"/>
      <c r="AE35" s="15" t="str">
        <f t="shared" si="20"/>
        <v/>
      </c>
      <c r="AF35" s="15">
        <f>IF(AE35="",0,AVERAGE(AE$10:AE35))</f>
        <v>0</v>
      </c>
      <c r="AG35" s="15">
        <f>IF(AE34="",0,VAR(AE$10:AE35))</f>
        <v>0</v>
      </c>
      <c r="AI35" s="2"/>
      <c r="AJ35" s="15" t="str">
        <f t="shared" si="15"/>
        <v/>
      </c>
      <c r="AK35" s="15">
        <f>IF(AJ35="",0,AVERAGE(AJ$10:AJ35))</f>
        <v>0</v>
      </c>
      <c r="AL35" s="15">
        <f>IF(AJ34="",0,VAR(AJ$10:AJ35))</f>
        <v>0</v>
      </c>
      <c r="AN35" s="2"/>
      <c r="AO35" s="15" t="str">
        <f t="shared" si="16"/>
        <v/>
      </c>
      <c r="AP35" s="15">
        <f>IF(AO35="",0,AVERAGE(AO$10:AO35))</f>
        <v>0</v>
      </c>
      <c r="AQ35" s="15">
        <f>IF(AO34="",0,VAR(AO$10:AO35))</f>
        <v>0</v>
      </c>
      <c r="AS35" s="2"/>
      <c r="AT35" s="15" t="str">
        <f t="shared" si="17"/>
        <v/>
      </c>
      <c r="AU35" s="15">
        <f>IF(AT35="",0,AVERAGE(AT$10:AT35))</f>
        <v>0</v>
      </c>
      <c r="AV35" s="15">
        <f>IF(AT34="",0,VAR(AT$10:AT35))</f>
        <v>0</v>
      </c>
      <c r="AX35" s="2"/>
      <c r="AY35" s="15" t="str">
        <f t="shared" si="18"/>
        <v/>
      </c>
      <c r="AZ35" s="15">
        <f>IF(AY35="",0,AVERAGE(AY$10:AY35))</f>
        <v>0</v>
      </c>
      <c r="BA35" s="15">
        <f>IF(AY34="",0,VAR(AY$10:AY35))</f>
        <v>0</v>
      </c>
    </row>
    <row r="36" spans="3:53" x14ac:dyDescent="0.25">
      <c r="C36" s="2"/>
      <c r="E36" s="2"/>
      <c r="F36" s="15"/>
      <c r="G36" s="15">
        <f>IF(F36="",0,AVERAGE($F$10:F36))</f>
        <v>0</v>
      </c>
      <c r="H36" s="15">
        <f>IF(F35="",0,VAR($F$10:F36))</f>
        <v>0</v>
      </c>
      <c r="J36" s="2"/>
      <c r="K36" s="15" t="str">
        <f t="shared" si="10"/>
        <v/>
      </c>
      <c r="L36" s="15">
        <f>IF(K36="",0,AVERAGE($K$10:K36))</f>
        <v>0</v>
      </c>
      <c r="M36" s="15">
        <f>IF(K35="",0,VAR($K$10:K36))</f>
        <v>0</v>
      </c>
      <c r="O36" s="2"/>
      <c r="P36" s="15" t="str">
        <f t="shared" si="11"/>
        <v/>
      </c>
      <c r="Q36" s="15">
        <f>IF(P36="",0,AVERAGE(P$10:P36))</f>
        <v>0</v>
      </c>
      <c r="R36" s="15">
        <f>IF(P35="",0,VAR(P$10:P36))</f>
        <v>0</v>
      </c>
      <c r="T36" s="2"/>
      <c r="U36" s="15" t="str">
        <f t="shared" si="19"/>
        <v/>
      </c>
      <c r="V36" s="15">
        <f>IF(U36="",0,AVERAGE(U$10:U36))</f>
        <v>0</v>
      </c>
      <c r="W36" s="15">
        <f>IF(U35="",0,VAR(U$10:U36))</f>
        <v>0</v>
      </c>
      <c r="Y36" s="2"/>
      <c r="Z36" s="15" t="str">
        <f t="shared" si="13"/>
        <v/>
      </c>
      <c r="AA36" s="15">
        <f>IF(Z36="",0,AVERAGE(Z$10:Z36))</f>
        <v>0</v>
      </c>
      <c r="AB36" s="15">
        <f>IF(Z35="",0,VAR(Z$10:Z36))</f>
        <v>0</v>
      </c>
      <c r="AD36" s="2"/>
      <c r="AE36" s="15" t="str">
        <f t="shared" si="20"/>
        <v/>
      </c>
      <c r="AF36" s="15">
        <f>IF(AE36="",0,AVERAGE(AE$10:AE36))</f>
        <v>0</v>
      </c>
      <c r="AG36" s="15">
        <f>IF(AE35="",0,VAR(AE$10:AE36))</f>
        <v>0</v>
      </c>
      <c r="AI36" s="2"/>
      <c r="AJ36" s="15" t="str">
        <f t="shared" si="15"/>
        <v/>
      </c>
      <c r="AK36" s="15">
        <f>IF(AJ36="",0,AVERAGE(AJ$10:AJ36))</f>
        <v>0</v>
      </c>
      <c r="AL36" s="15">
        <f>IF(AJ35="",0,VAR(AJ$10:AJ36))</f>
        <v>0</v>
      </c>
      <c r="AN36" s="2"/>
      <c r="AO36" s="15" t="str">
        <f t="shared" si="16"/>
        <v/>
      </c>
      <c r="AP36" s="15">
        <f>IF(AO36="",0,AVERAGE(AO$10:AO36))</f>
        <v>0</v>
      </c>
      <c r="AQ36" s="15">
        <f>IF(AO35="",0,VAR(AO$10:AO36))</f>
        <v>0</v>
      </c>
      <c r="AS36" s="2"/>
      <c r="AT36" s="15" t="str">
        <f t="shared" si="17"/>
        <v/>
      </c>
      <c r="AU36" s="15">
        <f>IF(AT36="",0,AVERAGE(AT$10:AT36))</f>
        <v>0</v>
      </c>
      <c r="AV36" s="15">
        <f>IF(AT35="",0,VAR(AT$10:AT36))</f>
        <v>0</v>
      </c>
      <c r="AX36" s="2"/>
      <c r="AY36" s="15" t="str">
        <f t="shared" si="18"/>
        <v/>
      </c>
      <c r="AZ36" s="15">
        <f>IF(AY36="",0,AVERAGE(AY$10:AY36))</f>
        <v>0</v>
      </c>
      <c r="BA36" s="15">
        <f>IF(AY35="",0,VAR(AY$10:AY36))</f>
        <v>0</v>
      </c>
    </row>
    <row r="37" spans="3:53" x14ac:dyDescent="0.25">
      <c r="C37" s="2"/>
      <c r="E37" s="2"/>
      <c r="F37" s="15" t="str">
        <f t="shared" ref="F37" si="28">IF(E37="","",+(E37-E36)/E36)</f>
        <v/>
      </c>
      <c r="G37" s="15">
        <f>IF(F37="",0,AVERAGE($F$10:F37))</f>
        <v>0</v>
      </c>
      <c r="H37" s="15">
        <f>IF(F36="",0,VAR($F$10:F37))</f>
        <v>0</v>
      </c>
      <c r="J37" s="2"/>
      <c r="K37" s="15" t="str">
        <f t="shared" si="10"/>
        <v/>
      </c>
      <c r="L37" s="15">
        <f>IF(K37="",0,AVERAGE($K$10:K37))</f>
        <v>0</v>
      </c>
      <c r="M37" s="15">
        <f>IF(K36="",0,VAR($K$10:K37))</f>
        <v>0</v>
      </c>
      <c r="O37" s="2"/>
      <c r="P37" s="15" t="str">
        <f t="shared" si="11"/>
        <v/>
      </c>
      <c r="Q37" s="15">
        <f>IF(P37="",0,AVERAGE(P$10:P37))</f>
        <v>0</v>
      </c>
      <c r="R37" s="15">
        <f>IF(P36="",0,VAR(P$10:P37))</f>
        <v>0</v>
      </c>
      <c r="T37" s="2"/>
      <c r="U37" s="15" t="str">
        <f t="shared" si="19"/>
        <v/>
      </c>
      <c r="V37" s="15">
        <f>IF(U37="",0,AVERAGE(U$10:U37))</f>
        <v>0</v>
      </c>
      <c r="W37" s="15">
        <f>IF(U36="",0,VAR(U$10:U37))</f>
        <v>0</v>
      </c>
      <c r="Y37" s="2"/>
      <c r="Z37" s="15" t="str">
        <f t="shared" si="13"/>
        <v/>
      </c>
      <c r="AA37" s="15">
        <f>IF(Z37="",0,AVERAGE(Z$10:Z37))</f>
        <v>0</v>
      </c>
      <c r="AB37" s="15">
        <f>IF(Z36="",0,VAR(Z$10:Z37))</f>
        <v>0</v>
      </c>
      <c r="AD37" s="2"/>
      <c r="AE37" s="15" t="str">
        <f t="shared" si="20"/>
        <v/>
      </c>
      <c r="AF37" s="15">
        <f>IF(AE37="",0,AVERAGE(AE$10:AE37))</f>
        <v>0</v>
      </c>
      <c r="AG37" s="15">
        <f>IF(AE36="",0,VAR(AE$10:AE37))</f>
        <v>0</v>
      </c>
      <c r="AI37" s="2"/>
      <c r="AJ37" s="15" t="str">
        <f t="shared" si="15"/>
        <v/>
      </c>
      <c r="AK37" s="15">
        <f>IF(AJ37="",0,AVERAGE(AJ$10:AJ37))</f>
        <v>0</v>
      </c>
      <c r="AL37" s="15">
        <f>IF(AJ36="",0,VAR(AJ$10:AJ37))</f>
        <v>0</v>
      </c>
      <c r="AN37" s="2"/>
      <c r="AO37" s="15" t="str">
        <f t="shared" si="16"/>
        <v/>
      </c>
      <c r="AP37" s="15">
        <f>IF(AO37="",0,AVERAGE(AO$10:AO37))</f>
        <v>0</v>
      </c>
      <c r="AQ37" s="15">
        <f>IF(AO36="",0,VAR(AO$10:AO37))</f>
        <v>0</v>
      </c>
      <c r="AS37" s="2"/>
      <c r="AT37" s="15" t="str">
        <f t="shared" si="17"/>
        <v/>
      </c>
      <c r="AU37" s="15">
        <f>IF(AT37="",0,AVERAGE(AT$10:AT37))</f>
        <v>0</v>
      </c>
      <c r="AV37" s="15">
        <f>IF(AT36="",0,VAR(AT$10:AT37))</f>
        <v>0</v>
      </c>
      <c r="AX37" s="2"/>
      <c r="AY37" s="15" t="str">
        <f t="shared" si="18"/>
        <v/>
      </c>
      <c r="AZ37" s="15">
        <f>IF(AY37="",0,AVERAGE(AY$10:AY37))</f>
        <v>0</v>
      </c>
      <c r="BA37" s="15">
        <f>IF(AY36="",0,VAR(AY$10:AY37))</f>
        <v>0</v>
      </c>
    </row>
    <row r="38" spans="3:53" x14ac:dyDescent="0.25">
      <c r="C38" s="2"/>
      <c r="E38" s="2"/>
      <c r="F38" s="15" t="str">
        <f t="shared" si="14"/>
        <v/>
      </c>
      <c r="G38" s="15">
        <f>IF(F38="",0,AVERAGE($F$10:F38))</f>
        <v>0</v>
      </c>
      <c r="H38" s="15">
        <f>IF(F37="",0,VAR($F$10:F38))</f>
        <v>0</v>
      </c>
      <c r="J38" s="2"/>
      <c r="K38" s="15" t="str">
        <f t="shared" si="10"/>
        <v/>
      </c>
      <c r="L38" s="15">
        <f>IF(K38="",0,AVERAGE($K$10:K38))</f>
        <v>0</v>
      </c>
      <c r="M38" s="15">
        <f>IF(K37="",0,VAR($K$10:K38))</f>
        <v>0</v>
      </c>
      <c r="O38" s="2"/>
      <c r="P38" s="15" t="str">
        <f t="shared" si="11"/>
        <v/>
      </c>
      <c r="Q38" s="15">
        <f>IF(P38="",0,AVERAGE(P$10:P38))</f>
        <v>0</v>
      </c>
      <c r="R38" s="15">
        <f>IF(P37="",0,VAR(P$10:P38))</f>
        <v>0</v>
      </c>
      <c r="T38" s="2"/>
      <c r="U38" s="15" t="str">
        <f t="shared" si="19"/>
        <v/>
      </c>
      <c r="V38" s="15">
        <f>IF(U38="",0,AVERAGE(U$10:U38))</f>
        <v>0</v>
      </c>
      <c r="W38" s="15">
        <f>IF(U37="",0,VAR(U$10:U38))</f>
        <v>0</v>
      </c>
      <c r="Y38" s="2"/>
      <c r="Z38" s="15" t="str">
        <f t="shared" si="13"/>
        <v/>
      </c>
      <c r="AA38" s="15">
        <f>IF(Z38="",0,AVERAGE(Z$10:Z38))</f>
        <v>0</v>
      </c>
      <c r="AB38" s="15">
        <f>IF(Z37="",0,VAR(Z$10:Z38))</f>
        <v>0</v>
      </c>
      <c r="AD38" s="2"/>
      <c r="AE38" s="15" t="str">
        <f t="shared" si="20"/>
        <v/>
      </c>
      <c r="AF38" s="15">
        <f>IF(AE38="",0,AVERAGE(AE$10:AE38))</f>
        <v>0</v>
      </c>
      <c r="AG38" s="15">
        <f>IF(AE37="",0,VAR(AE$10:AE38))</f>
        <v>0</v>
      </c>
      <c r="AI38" s="2"/>
      <c r="AJ38" s="15" t="str">
        <f t="shared" si="15"/>
        <v/>
      </c>
      <c r="AK38" s="15">
        <f>IF(AJ38="",0,AVERAGE(AJ$10:AJ38))</f>
        <v>0</v>
      </c>
      <c r="AL38" s="15">
        <f>IF(AJ37="",0,VAR(AJ$10:AJ38))</f>
        <v>0</v>
      </c>
      <c r="AN38" s="2"/>
      <c r="AO38" s="15" t="str">
        <f t="shared" si="16"/>
        <v/>
      </c>
      <c r="AP38" s="15">
        <f>IF(AO38="",0,AVERAGE(AO$10:AO38))</f>
        <v>0</v>
      </c>
      <c r="AQ38" s="15">
        <f>IF(AO37="",0,VAR(AO$10:AO38))</f>
        <v>0</v>
      </c>
      <c r="AS38" s="2"/>
      <c r="AT38" s="15" t="str">
        <f t="shared" si="17"/>
        <v/>
      </c>
      <c r="AU38" s="15">
        <f>IF(AT38="",0,AVERAGE(AT$10:AT38))</f>
        <v>0</v>
      </c>
      <c r="AV38" s="15">
        <f>IF(AT37="",0,VAR(AT$10:AT38))</f>
        <v>0</v>
      </c>
      <c r="AX38" s="2"/>
      <c r="AY38" s="15" t="str">
        <f t="shared" si="18"/>
        <v/>
      </c>
      <c r="AZ38" s="15">
        <f>IF(AY38="",0,AVERAGE(AY$10:AY38))</f>
        <v>0</v>
      </c>
      <c r="BA38" s="15">
        <f>IF(AY37="",0,VAR(AY$10:AY38))</f>
        <v>0</v>
      </c>
    </row>
    <row r="39" spans="3:53" x14ac:dyDescent="0.25">
      <c r="C39" s="2"/>
      <c r="E39" s="2"/>
      <c r="F39" s="15"/>
      <c r="G39" s="15">
        <f>IF(F39="",0,AVERAGE($F$10:F39))</f>
        <v>0</v>
      </c>
      <c r="H39" s="15">
        <f>IF(F38="",0,VAR($F$10:F39))</f>
        <v>0</v>
      </c>
      <c r="J39" s="2"/>
      <c r="K39" s="15" t="str">
        <f t="shared" si="10"/>
        <v/>
      </c>
      <c r="L39" s="15">
        <f>IF(K39="",0,AVERAGE($K$10:K39))</f>
        <v>0</v>
      </c>
      <c r="M39" s="15">
        <f>IF(K38="",0,VAR($K$10:K39))</f>
        <v>0</v>
      </c>
      <c r="O39" s="2"/>
      <c r="P39" s="15" t="str">
        <f t="shared" si="11"/>
        <v/>
      </c>
      <c r="Q39" s="15">
        <f>IF(P39="",0,AVERAGE(P$10:P39))</f>
        <v>0</v>
      </c>
      <c r="R39" s="15">
        <f>IF(P38="",0,VAR(P$10:P39))</f>
        <v>0</v>
      </c>
      <c r="T39" s="2"/>
      <c r="U39" s="15" t="str">
        <f t="shared" si="19"/>
        <v/>
      </c>
      <c r="V39" s="15">
        <f>IF(U39="",0,AVERAGE(U$10:U39))</f>
        <v>0</v>
      </c>
      <c r="W39" s="15">
        <f>IF(U38="",0,VAR(U$10:U39))</f>
        <v>0</v>
      </c>
      <c r="Y39" s="2"/>
      <c r="Z39" s="15" t="str">
        <f t="shared" si="13"/>
        <v/>
      </c>
      <c r="AA39" s="15">
        <f>IF(Z39="",0,AVERAGE(Z$10:Z39))</f>
        <v>0</v>
      </c>
      <c r="AB39" s="15">
        <f>IF(Z38="",0,VAR(Z$10:Z39))</f>
        <v>0</v>
      </c>
      <c r="AD39" s="2"/>
      <c r="AE39" s="15" t="str">
        <f t="shared" si="20"/>
        <v/>
      </c>
      <c r="AF39" s="15">
        <f>IF(AE39="",0,AVERAGE(AE$10:AE39))</f>
        <v>0</v>
      </c>
      <c r="AG39" s="15">
        <f>IF(AE38="",0,VAR(AE$10:AE39))</f>
        <v>0</v>
      </c>
      <c r="AI39" s="2"/>
      <c r="AJ39" s="15" t="str">
        <f t="shared" si="15"/>
        <v/>
      </c>
      <c r="AK39" s="15">
        <f>IF(AJ39="",0,AVERAGE(AJ$10:AJ39))</f>
        <v>0</v>
      </c>
      <c r="AL39" s="15">
        <f>IF(AJ38="",0,VAR(AJ$10:AJ39))</f>
        <v>0</v>
      </c>
      <c r="AN39" s="2"/>
      <c r="AO39" s="15" t="str">
        <f t="shared" si="16"/>
        <v/>
      </c>
      <c r="AP39" s="15">
        <f>IF(AO39="",0,AVERAGE(AO$10:AO39))</f>
        <v>0</v>
      </c>
      <c r="AQ39" s="15">
        <f>IF(AO38="",0,VAR(AO$10:AO39))</f>
        <v>0</v>
      </c>
      <c r="AS39" s="2"/>
      <c r="AT39" s="15" t="str">
        <f t="shared" si="17"/>
        <v/>
      </c>
      <c r="AU39" s="15">
        <f>IF(AT39="",0,AVERAGE(AT$10:AT39))</f>
        <v>0</v>
      </c>
      <c r="AV39" s="15">
        <f>IF(AT38="",0,VAR(AT$10:AT39))</f>
        <v>0</v>
      </c>
      <c r="AX39" s="2"/>
      <c r="AY39" s="15" t="str">
        <f t="shared" si="18"/>
        <v/>
      </c>
      <c r="AZ39" s="15">
        <f>IF(AY39="",0,AVERAGE(AY$10:AY39))</f>
        <v>0</v>
      </c>
      <c r="BA39" s="15">
        <f>IF(AY38="",0,VAR(AY$10:AY39))</f>
        <v>0</v>
      </c>
    </row>
    <row r="40" spans="3:53" x14ac:dyDescent="0.25">
      <c r="C40" s="2"/>
      <c r="E40" s="2"/>
      <c r="F40" s="15" t="str">
        <f t="shared" ref="F40" si="29">IF(E40="","",+(E40-E39)/E39)</f>
        <v/>
      </c>
      <c r="G40" s="15">
        <f>IF(F40="",0,AVERAGE($F$10:F40))</f>
        <v>0</v>
      </c>
      <c r="H40" s="15">
        <f>IF(F39="",0,VAR($F$10:F40))</f>
        <v>0</v>
      </c>
      <c r="J40" s="2"/>
      <c r="K40" s="15" t="str">
        <f t="shared" si="10"/>
        <v/>
      </c>
      <c r="L40" s="15">
        <f>IF(K40="",0,AVERAGE($K$10:K40))</f>
        <v>0</v>
      </c>
      <c r="M40" s="15">
        <f>IF(K39="",0,VAR($K$10:K40))</f>
        <v>0</v>
      </c>
      <c r="O40" s="2"/>
      <c r="P40" s="15" t="str">
        <f t="shared" si="11"/>
        <v/>
      </c>
      <c r="Q40" s="15">
        <f>IF(P40="",0,AVERAGE(P$10:P40))</f>
        <v>0</v>
      </c>
      <c r="R40" s="15">
        <f>IF(P39="",0,VAR(P$10:P40))</f>
        <v>0</v>
      </c>
      <c r="T40" s="2"/>
      <c r="U40" s="15" t="str">
        <f t="shared" si="19"/>
        <v/>
      </c>
      <c r="V40" s="15">
        <f>IF(U40="",0,AVERAGE(U$10:U40))</f>
        <v>0</v>
      </c>
      <c r="W40" s="15">
        <f>IF(U39="",0,VAR(U$10:U40))</f>
        <v>0</v>
      </c>
      <c r="Y40" s="2"/>
      <c r="Z40" s="15" t="str">
        <f t="shared" si="13"/>
        <v/>
      </c>
      <c r="AA40" s="15">
        <f>IF(Z40="",0,AVERAGE(Z$10:Z40))</f>
        <v>0</v>
      </c>
      <c r="AB40" s="15">
        <f>IF(Z39="",0,VAR(Z$10:Z40))</f>
        <v>0</v>
      </c>
      <c r="AD40" s="2"/>
      <c r="AE40" s="15" t="str">
        <f t="shared" si="20"/>
        <v/>
      </c>
      <c r="AF40" s="15">
        <f>IF(AE40="",0,AVERAGE(AE$10:AE40))</f>
        <v>0</v>
      </c>
      <c r="AG40" s="15">
        <f>IF(AE39="",0,VAR(AE$10:AE40))</f>
        <v>0</v>
      </c>
      <c r="AI40" s="2"/>
      <c r="AJ40" s="15" t="str">
        <f t="shared" si="15"/>
        <v/>
      </c>
      <c r="AK40" s="15">
        <f>IF(AJ40="",0,AVERAGE(AJ$10:AJ40))</f>
        <v>0</v>
      </c>
      <c r="AL40" s="15">
        <f>IF(AJ39="",0,VAR(AJ$10:AJ40))</f>
        <v>0</v>
      </c>
      <c r="AN40" s="2"/>
      <c r="AO40" s="15" t="str">
        <f t="shared" si="16"/>
        <v/>
      </c>
      <c r="AP40" s="15">
        <f>IF(AO40="",0,AVERAGE(AO$10:AO40))</f>
        <v>0</v>
      </c>
      <c r="AQ40" s="15">
        <f>IF(AO39="",0,VAR(AO$10:AO40))</f>
        <v>0</v>
      </c>
      <c r="AS40" s="2"/>
      <c r="AT40" s="15" t="str">
        <f t="shared" si="17"/>
        <v/>
      </c>
      <c r="AU40" s="15">
        <f>IF(AT40="",0,AVERAGE(AT$10:AT40))</f>
        <v>0</v>
      </c>
      <c r="AV40" s="15">
        <f>IF(AT39="",0,VAR(AT$10:AT40))</f>
        <v>0</v>
      </c>
      <c r="AX40" s="2"/>
      <c r="AY40" s="15" t="str">
        <f t="shared" si="18"/>
        <v/>
      </c>
      <c r="AZ40" s="15">
        <f>IF(AY40="",0,AVERAGE(AY$10:AY40))</f>
        <v>0</v>
      </c>
      <c r="BA40" s="15">
        <f>IF(AY39="",0,VAR(AY$10:AY40))</f>
        <v>0</v>
      </c>
    </row>
    <row r="41" spans="3:53" x14ac:dyDescent="0.25">
      <c r="C41" s="2"/>
      <c r="E41" s="2"/>
      <c r="F41" s="15" t="str">
        <f t="shared" si="14"/>
        <v/>
      </c>
      <c r="G41" s="15">
        <f>IF(F41="",0,AVERAGE($F$10:F41))</f>
        <v>0</v>
      </c>
      <c r="H41" s="15">
        <f>IF(F40="",0,VAR($F$10:F41))</f>
        <v>0</v>
      </c>
      <c r="J41" s="2"/>
      <c r="K41" s="15" t="str">
        <f t="shared" si="10"/>
        <v/>
      </c>
      <c r="L41" s="15">
        <f>IF(K41="",0,AVERAGE($K$10:K41))</f>
        <v>0</v>
      </c>
      <c r="M41" s="15">
        <f>IF(K40="",0,VAR($K$10:K41))</f>
        <v>0</v>
      </c>
      <c r="O41" s="2"/>
      <c r="P41" s="15" t="str">
        <f t="shared" si="11"/>
        <v/>
      </c>
      <c r="Q41" s="15">
        <f>IF(P41="",0,AVERAGE(P$10:P41))</f>
        <v>0</v>
      </c>
      <c r="R41" s="15">
        <f>IF(P40="",0,VAR(P$10:P41))</f>
        <v>0</v>
      </c>
      <c r="T41" s="2"/>
      <c r="U41" s="15" t="str">
        <f t="shared" si="19"/>
        <v/>
      </c>
      <c r="V41" s="15">
        <f>IF(U41="",0,AVERAGE(U$10:U41))</f>
        <v>0</v>
      </c>
      <c r="W41" s="15">
        <f>IF(U40="",0,VAR(U$10:U41))</f>
        <v>0</v>
      </c>
      <c r="Y41" s="2"/>
      <c r="Z41" s="15" t="str">
        <f t="shared" si="13"/>
        <v/>
      </c>
      <c r="AA41" s="15">
        <f>IF(Z41="",0,AVERAGE(Z$10:Z41))</f>
        <v>0</v>
      </c>
      <c r="AB41" s="15">
        <f>IF(Z40="",0,VAR(Z$10:Z41))</f>
        <v>0</v>
      </c>
      <c r="AD41" s="2"/>
      <c r="AE41" s="15" t="str">
        <f t="shared" si="20"/>
        <v/>
      </c>
      <c r="AF41" s="15">
        <f>IF(AE41="",0,AVERAGE(AE$10:AE41))</f>
        <v>0</v>
      </c>
      <c r="AG41" s="15">
        <f>IF(AE40="",0,VAR(AE$10:AE41))</f>
        <v>0</v>
      </c>
      <c r="AI41" s="2"/>
      <c r="AJ41" s="15" t="str">
        <f t="shared" si="15"/>
        <v/>
      </c>
      <c r="AK41" s="15">
        <f>IF(AJ41="",0,AVERAGE(AJ$10:AJ41))</f>
        <v>0</v>
      </c>
      <c r="AL41" s="15">
        <f>IF(AJ40="",0,VAR(AJ$10:AJ41))</f>
        <v>0</v>
      </c>
      <c r="AN41" s="2"/>
      <c r="AO41" s="15" t="str">
        <f t="shared" si="16"/>
        <v/>
      </c>
      <c r="AP41" s="15">
        <f>IF(AO41="",0,AVERAGE(AO$10:AO41))</f>
        <v>0</v>
      </c>
      <c r="AQ41" s="15">
        <f>IF(AO40="",0,VAR(AO$10:AO41))</f>
        <v>0</v>
      </c>
      <c r="AS41" s="2"/>
      <c r="AT41" s="15" t="str">
        <f t="shared" si="17"/>
        <v/>
      </c>
      <c r="AU41" s="15">
        <f>IF(AT41="",0,AVERAGE(AT$10:AT41))</f>
        <v>0</v>
      </c>
      <c r="AV41" s="15">
        <f>IF(AT40="",0,VAR(AT$10:AT41))</f>
        <v>0</v>
      </c>
      <c r="AX41" s="2"/>
      <c r="AY41" s="15" t="str">
        <f t="shared" si="18"/>
        <v/>
      </c>
      <c r="AZ41" s="15">
        <f>IF(AY41="",0,AVERAGE(AY$10:AY41))</f>
        <v>0</v>
      </c>
      <c r="BA41" s="15">
        <f>IF(AY40="",0,VAR(AY$10:AY41))</f>
        <v>0</v>
      </c>
    </row>
    <row r="42" spans="3:53" x14ac:dyDescent="0.25">
      <c r="C42" s="2"/>
      <c r="E42" s="2"/>
      <c r="F42" s="15"/>
      <c r="G42" s="15">
        <f>IF(F42="",0,AVERAGE($F$10:F42))</f>
        <v>0</v>
      </c>
      <c r="H42" s="15">
        <f>IF(F41="",0,VAR($F$10:F42))</f>
        <v>0</v>
      </c>
      <c r="J42" s="2"/>
      <c r="K42" s="15" t="str">
        <f t="shared" si="10"/>
        <v/>
      </c>
      <c r="L42" s="15">
        <f>IF(K42="",0,AVERAGE($K$10:K42))</f>
        <v>0</v>
      </c>
      <c r="M42" s="15">
        <f>IF(K41="",0,VAR($K$10:K42))</f>
        <v>0</v>
      </c>
      <c r="O42" s="2"/>
      <c r="P42" s="15" t="str">
        <f t="shared" si="11"/>
        <v/>
      </c>
      <c r="Q42" s="15">
        <f>IF(P42="",0,AVERAGE(P$10:P42))</f>
        <v>0</v>
      </c>
      <c r="R42" s="15">
        <f>IF(P41="",0,VAR(P$10:P42))</f>
        <v>0</v>
      </c>
      <c r="T42" s="2"/>
      <c r="U42" s="15" t="str">
        <f t="shared" si="19"/>
        <v/>
      </c>
      <c r="V42" s="15">
        <f>IF(U42="",0,AVERAGE(U$10:U42))</f>
        <v>0</v>
      </c>
      <c r="W42" s="15">
        <f>IF(U41="",0,VAR(U$10:U42))</f>
        <v>0</v>
      </c>
      <c r="Y42" s="2"/>
      <c r="Z42" s="15" t="str">
        <f t="shared" si="13"/>
        <v/>
      </c>
      <c r="AA42" s="15">
        <f>IF(Z42="",0,AVERAGE(Z$10:Z42))</f>
        <v>0</v>
      </c>
      <c r="AB42" s="15">
        <f>IF(Z41="",0,VAR(Z$10:Z42))</f>
        <v>0</v>
      </c>
      <c r="AD42" s="2"/>
      <c r="AE42" s="15" t="str">
        <f t="shared" si="20"/>
        <v/>
      </c>
      <c r="AF42" s="15">
        <f>IF(AE42="",0,AVERAGE(AE$10:AE42))</f>
        <v>0</v>
      </c>
      <c r="AG42" s="15">
        <f>IF(AE41="",0,VAR(AE$10:AE42))</f>
        <v>0</v>
      </c>
      <c r="AI42" s="2"/>
      <c r="AJ42" s="15" t="str">
        <f t="shared" si="15"/>
        <v/>
      </c>
      <c r="AK42" s="15">
        <f>IF(AJ42="",0,AVERAGE(AJ$10:AJ42))</f>
        <v>0</v>
      </c>
      <c r="AL42" s="15">
        <f>IF(AJ41="",0,VAR(AJ$10:AJ42))</f>
        <v>0</v>
      </c>
      <c r="AN42" s="2"/>
      <c r="AO42" s="15" t="str">
        <f t="shared" si="16"/>
        <v/>
      </c>
      <c r="AP42" s="15">
        <f>IF(AO42="",0,AVERAGE(AO$10:AO42))</f>
        <v>0</v>
      </c>
      <c r="AQ42" s="15">
        <f>IF(AO41="",0,VAR(AO$10:AO42))</f>
        <v>0</v>
      </c>
      <c r="AS42" s="2"/>
      <c r="AT42" s="15" t="str">
        <f t="shared" si="17"/>
        <v/>
      </c>
      <c r="AU42" s="15">
        <f>IF(AT42="",0,AVERAGE(AT$10:AT42))</f>
        <v>0</v>
      </c>
      <c r="AV42" s="15">
        <f>IF(AT41="",0,VAR(AT$10:AT42))</f>
        <v>0</v>
      </c>
      <c r="AX42" s="2"/>
      <c r="AY42" s="15" t="str">
        <f t="shared" si="18"/>
        <v/>
      </c>
      <c r="AZ42" s="15">
        <f>IF(AY42="",0,AVERAGE(AY$10:AY42))</f>
        <v>0</v>
      </c>
      <c r="BA42" s="15">
        <f>IF(AY41="",0,VAR(AY$10:AY42))</f>
        <v>0</v>
      </c>
    </row>
    <row r="43" spans="3:53" x14ac:dyDescent="0.25">
      <c r="C43" s="2"/>
      <c r="E43" s="2"/>
      <c r="F43" s="15" t="str">
        <f t="shared" ref="F43" si="30">IF(E43="","",+(E43-E42)/E42)</f>
        <v/>
      </c>
      <c r="G43" s="15">
        <f>IF(F43="",0,AVERAGE($F$10:F43))</f>
        <v>0</v>
      </c>
      <c r="H43" s="15">
        <f>IF(F42="",0,VAR($F$10:F43))</f>
        <v>0</v>
      </c>
      <c r="J43" s="2"/>
      <c r="K43" s="15" t="str">
        <f t="shared" si="10"/>
        <v/>
      </c>
      <c r="L43" s="15">
        <f>IF(K43="",0,AVERAGE($K$10:K43))</f>
        <v>0</v>
      </c>
      <c r="M43" s="15">
        <f>IF(K42="",0,VAR($K$10:K43))</f>
        <v>0</v>
      </c>
      <c r="O43" s="2"/>
      <c r="P43" s="15" t="str">
        <f t="shared" si="11"/>
        <v/>
      </c>
      <c r="Q43" s="15">
        <f>IF(P43="",0,AVERAGE(P$10:P43))</f>
        <v>0</v>
      </c>
      <c r="R43" s="15">
        <f>IF(P42="",0,VAR(P$10:P43))</f>
        <v>0</v>
      </c>
      <c r="T43" s="2"/>
      <c r="U43" s="15" t="str">
        <f t="shared" si="19"/>
        <v/>
      </c>
      <c r="V43" s="15">
        <f>IF(U43="",0,AVERAGE(U$10:U43))</f>
        <v>0</v>
      </c>
      <c r="W43" s="15">
        <f>IF(U42="",0,VAR(U$10:U43))</f>
        <v>0</v>
      </c>
      <c r="Y43" s="2"/>
      <c r="Z43" s="15" t="str">
        <f t="shared" si="13"/>
        <v/>
      </c>
      <c r="AA43" s="15">
        <f>IF(Z43="",0,AVERAGE(Z$10:Z43))</f>
        <v>0</v>
      </c>
      <c r="AB43" s="15">
        <f>IF(Z42="",0,VAR(Z$10:Z43))</f>
        <v>0</v>
      </c>
      <c r="AD43" s="2"/>
      <c r="AE43" s="15" t="str">
        <f t="shared" si="20"/>
        <v/>
      </c>
      <c r="AF43" s="15">
        <f>IF(AE43="",0,AVERAGE(AE$10:AE43))</f>
        <v>0</v>
      </c>
      <c r="AG43" s="15">
        <f>IF(AE42="",0,VAR(AE$10:AE43))</f>
        <v>0</v>
      </c>
      <c r="AI43" s="2"/>
      <c r="AJ43" s="15" t="str">
        <f t="shared" si="15"/>
        <v/>
      </c>
      <c r="AK43" s="15">
        <f>IF(AJ43="",0,AVERAGE(AJ$10:AJ43))</f>
        <v>0</v>
      </c>
      <c r="AL43" s="15">
        <f>IF(AJ42="",0,VAR(AJ$10:AJ43))</f>
        <v>0</v>
      </c>
      <c r="AN43" s="2"/>
      <c r="AO43" s="15" t="str">
        <f t="shared" si="16"/>
        <v/>
      </c>
      <c r="AP43" s="15">
        <f>IF(AO43="",0,AVERAGE(AO$10:AO43))</f>
        <v>0</v>
      </c>
      <c r="AQ43" s="15">
        <f>IF(AO42="",0,VAR(AO$10:AO43))</f>
        <v>0</v>
      </c>
      <c r="AS43" s="2"/>
      <c r="AT43" s="15" t="str">
        <f t="shared" si="17"/>
        <v/>
      </c>
      <c r="AU43" s="15">
        <f>IF(AT43="",0,AVERAGE(AT$10:AT43))</f>
        <v>0</v>
      </c>
      <c r="AV43" s="15">
        <f>IF(AT42="",0,VAR(AT$10:AT43))</f>
        <v>0</v>
      </c>
      <c r="AX43" s="2"/>
      <c r="AY43" s="15" t="str">
        <f t="shared" si="18"/>
        <v/>
      </c>
      <c r="AZ43" s="15">
        <f>IF(AY43="",0,AVERAGE(AY$10:AY43))</f>
        <v>0</v>
      </c>
      <c r="BA43" s="15">
        <f>IF(AY42="",0,VAR(AY$10:AY43))</f>
        <v>0</v>
      </c>
    </row>
    <row r="44" spans="3:53" x14ac:dyDescent="0.25">
      <c r="C44" s="2"/>
      <c r="E44" s="2"/>
      <c r="F44" s="15" t="str">
        <f t="shared" si="14"/>
        <v/>
      </c>
      <c r="G44" s="15">
        <f>IF(F44="",0,AVERAGE($F$10:F44))</f>
        <v>0</v>
      </c>
      <c r="H44" s="15">
        <f>IF(F43="",0,VAR($F$10:F44))</f>
        <v>0</v>
      </c>
      <c r="J44" s="2"/>
      <c r="K44" s="15" t="str">
        <f t="shared" si="10"/>
        <v/>
      </c>
      <c r="L44" s="15">
        <f>IF(K44="",0,AVERAGE($K$10:K44))</f>
        <v>0</v>
      </c>
      <c r="M44" s="15">
        <f>IF(K43="",0,VAR($K$10:K44))</f>
        <v>0</v>
      </c>
      <c r="O44" s="2"/>
      <c r="P44" s="15" t="str">
        <f t="shared" si="11"/>
        <v/>
      </c>
      <c r="Q44" s="15">
        <f>IF(P44="",0,AVERAGE(P$10:P44))</f>
        <v>0</v>
      </c>
      <c r="R44" s="15">
        <f>IF(P43="",0,VAR(P$10:P44))</f>
        <v>0</v>
      </c>
      <c r="T44" s="2"/>
      <c r="U44" s="15" t="str">
        <f t="shared" si="19"/>
        <v/>
      </c>
      <c r="V44" s="15">
        <f>IF(U44="",0,AVERAGE(U$10:U44))</f>
        <v>0</v>
      </c>
      <c r="W44" s="15">
        <f>IF(U43="",0,VAR(U$10:U44))</f>
        <v>0</v>
      </c>
      <c r="Y44" s="2"/>
      <c r="Z44" s="15" t="str">
        <f t="shared" si="13"/>
        <v/>
      </c>
      <c r="AA44" s="15">
        <f>IF(Z44="",0,AVERAGE(Z$10:Z44))</f>
        <v>0</v>
      </c>
      <c r="AB44" s="15">
        <f>IF(Z43="",0,VAR(Z$10:Z44))</f>
        <v>0</v>
      </c>
      <c r="AD44" s="2"/>
      <c r="AE44" s="15" t="str">
        <f t="shared" si="20"/>
        <v/>
      </c>
      <c r="AF44" s="15">
        <f>IF(AE44="",0,AVERAGE(AE$10:AE44))</f>
        <v>0</v>
      </c>
      <c r="AG44" s="15">
        <f>IF(AE43="",0,VAR(AE$10:AE44))</f>
        <v>0</v>
      </c>
      <c r="AI44" s="2"/>
      <c r="AJ44" s="15" t="str">
        <f t="shared" si="15"/>
        <v/>
      </c>
      <c r="AK44" s="15">
        <f>IF(AJ44="",0,AVERAGE(AJ$10:AJ44))</f>
        <v>0</v>
      </c>
      <c r="AL44" s="15">
        <f>IF(AJ43="",0,VAR(AJ$10:AJ44))</f>
        <v>0</v>
      </c>
      <c r="AN44" s="2"/>
      <c r="AO44" s="15" t="str">
        <f t="shared" si="16"/>
        <v/>
      </c>
      <c r="AP44" s="15">
        <f>IF(AO44="",0,AVERAGE(AO$10:AO44))</f>
        <v>0</v>
      </c>
      <c r="AQ44" s="15">
        <f>IF(AO43="",0,VAR(AO$10:AO44))</f>
        <v>0</v>
      </c>
      <c r="AS44" s="2"/>
      <c r="AT44" s="15" t="str">
        <f t="shared" si="17"/>
        <v/>
      </c>
      <c r="AU44" s="15">
        <f>IF(AT44="",0,AVERAGE(AT$10:AT44))</f>
        <v>0</v>
      </c>
      <c r="AV44" s="15">
        <f>IF(AT43="",0,VAR(AT$10:AT44))</f>
        <v>0</v>
      </c>
      <c r="AX44" s="2"/>
      <c r="AY44" s="15" t="str">
        <f t="shared" si="18"/>
        <v/>
      </c>
      <c r="AZ44" s="15">
        <f>IF(AY44="",0,AVERAGE(AY$10:AY44))</f>
        <v>0</v>
      </c>
      <c r="BA44" s="15">
        <f>IF(AY43="",0,VAR(AY$10:AY44))</f>
        <v>0</v>
      </c>
    </row>
    <row r="45" spans="3:53" x14ac:dyDescent="0.25">
      <c r="C45" s="2"/>
      <c r="E45" s="2"/>
      <c r="F45" s="15"/>
      <c r="G45" s="15">
        <f>IF(F45="",0,AVERAGE($F$10:F45))</f>
        <v>0</v>
      </c>
      <c r="H45" s="15">
        <f>IF(F44="",0,VAR($F$10:F45))</f>
        <v>0</v>
      </c>
      <c r="J45" s="2"/>
      <c r="K45" s="15" t="str">
        <f t="shared" si="10"/>
        <v/>
      </c>
      <c r="L45" s="15">
        <f>IF(K45="",0,AVERAGE($K$10:K45))</f>
        <v>0</v>
      </c>
      <c r="M45" s="15">
        <f>IF(K44="",0,VAR($K$10:K45))</f>
        <v>0</v>
      </c>
      <c r="O45" s="2"/>
      <c r="P45" s="15" t="str">
        <f t="shared" si="11"/>
        <v/>
      </c>
      <c r="Q45" s="15">
        <f>IF(P45="",0,AVERAGE(P$10:P45))</f>
        <v>0</v>
      </c>
      <c r="R45" s="15">
        <f>IF(P44="",0,VAR(P$10:P45))</f>
        <v>0</v>
      </c>
      <c r="T45" s="2"/>
      <c r="U45" s="15" t="str">
        <f t="shared" si="19"/>
        <v/>
      </c>
      <c r="V45" s="15">
        <f>IF(U45="",0,AVERAGE(U$10:U45))</f>
        <v>0</v>
      </c>
      <c r="W45" s="15">
        <f>IF(U44="",0,VAR(U$10:U45))</f>
        <v>0</v>
      </c>
      <c r="Y45" s="2"/>
      <c r="Z45" s="15" t="str">
        <f t="shared" si="13"/>
        <v/>
      </c>
      <c r="AA45" s="15">
        <f>IF(Z45="",0,AVERAGE(Z$10:Z45))</f>
        <v>0</v>
      </c>
      <c r="AB45" s="15">
        <f>IF(Z44="",0,VAR(Z$10:Z45))</f>
        <v>0</v>
      </c>
      <c r="AD45" s="2"/>
      <c r="AE45" s="15" t="str">
        <f t="shared" si="20"/>
        <v/>
      </c>
      <c r="AF45" s="15">
        <f>IF(AE45="",0,AVERAGE(AE$10:AE45))</f>
        <v>0</v>
      </c>
      <c r="AG45" s="15">
        <f>IF(AE44="",0,VAR(AE$10:AE45))</f>
        <v>0</v>
      </c>
      <c r="AI45" s="2"/>
      <c r="AJ45" s="15" t="str">
        <f t="shared" si="15"/>
        <v/>
      </c>
      <c r="AK45" s="15">
        <f>IF(AJ45="",0,AVERAGE(AJ$10:AJ45))</f>
        <v>0</v>
      </c>
      <c r="AL45" s="15">
        <f>IF(AJ44="",0,VAR(AJ$10:AJ45))</f>
        <v>0</v>
      </c>
      <c r="AN45" s="2"/>
      <c r="AO45" s="15" t="str">
        <f t="shared" si="16"/>
        <v/>
      </c>
      <c r="AP45" s="15">
        <f>IF(AO45="",0,AVERAGE(AO$10:AO45))</f>
        <v>0</v>
      </c>
      <c r="AQ45" s="15">
        <f>IF(AO44="",0,VAR(AO$10:AO45))</f>
        <v>0</v>
      </c>
      <c r="AS45" s="2"/>
      <c r="AT45" s="15" t="str">
        <f t="shared" si="17"/>
        <v/>
      </c>
      <c r="AU45" s="15">
        <f>IF(AT45="",0,AVERAGE(AT$10:AT45))</f>
        <v>0</v>
      </c>
      <c r="AV45" s="15">
        <f>IF(AT44="",0,VAR(AT$10:AT45))</f>
        <v>0</v>
      </c>
      <c r="AX45" s="2"/>
      <c r="AY45" s="15" t="str">
        <f t="shared" si="18"/>
        <v/>
      </c>
      <c r="AZ45" s="15">
        <f>IF(AY45="",0,AVERAGE(AY$10:AY45))</f>
        <v>0</v>
      </c>
      <c r="BA45" s="15">
        <f>IF(AY44="",0,VAR(AY$10:AY45))</f>
        <v>0</v>
      </c>
    </row>
    <row r="46" spans="3:53" x14ac:dyDescent="0.25">
      <c r="C46" s="2"/>
      <c r="E46" s="2"/>
      <c r="F46" s="15" t="str">
        <f t="shared" ref="F46" si="31">IF(E46="","",+(E46-E45)/E45)</f>
        <v/>
      </c>
      <c r="G46" s="15">
        <f>IF(F46="",0,AVERAGE($F$10:F46))</f>
        <v>0</v>
      </c>
      <c r="H46" s="15">
        <f>IF(F45="",0,VAR($F$10:F46))</f>
        <v>0</v>
      </c>
      <c r="J46" s="2"/>
      <c r="K46" s="15" t="str">
        <f t="shared" si="10"/>
        <v/>
      </c>
      <c r="L46" s="15">
        <f>IF(K46="",0,AVERAGE($K$10:K46))</f>
        <v>0</v>
      </c>
      <c r="M46" s="15">
        <f>IF(K45="",0,VAR($K$10:K46))</f>
        <v>0</v>
      </c>
      <c r="O46" s="2"/>
      <c r="P46" s="15" t="str">
        <f t="shared" si="11"/>
        <v/>
      </c>
      <c r="Q46" s="15">
        <f>IF(P46="",0,AVERAGE(P$10:P46))</f>
        <v>0</v>
      </c>
      <c r="R46" s="15">
        <f>IF(P45="",0,VAR(P$10:P46))</f>
        <v>0</v>
      </c>
      <c r="T46" s="2"/>
      <c r="U46" s="15" t="str">
        <f t="shared" si="19"/>
        <v/>
      </c>
      <c r="V46" s="15">
        <f>IF(U46="",0,AVERAGE(U$10:U46))</f>
        <v>0</v>
      </c>
      <c r="W46" s="15">
        <f>IF(U45="",0,VAR(U$10:U46))</f>
        <v>0</v>
      </c>
      <c r="Y46" s="2"/>
      <c r="Z46" s="15" t="str">
        <f t="shared" si="13"/>
        <v/>
      </c>
      <c r="AA46" s="15">
        <f>IF(Z46="",0,AVERAGE(Z$10:Z46))</f>
        <v>0</v>
      </c>
      <c r="AB46" s="15">
        <f>IF(Z45="",0,VAR(Z$10:Z46))</f>
        <v>0</v>
      </c>
      <c r="AD46" s="2"/>
      <c r="AE46" s="15" t="str">
        <f t="shared" si="20"/>
        <v/>
      </c>
      <c r="AF46" s="15">
        <f>IF(AE46="",0,AVERAGE(AE$10:AE46))</f>
        <v>0</v>
      </c>
      <c r="AG46" s="15">
        <f>IF(AE45="",0,VAR(AE$10:AE46))</f>
        <v>0</v>
      </c>
      <c r="AI46" s="2"/>
      <c r="AJ46" s="15" t="str">
        <f t="shared" si="15"/>
        <v/>
      </c>
      <c r="AK46" s="15">
        <f>IF(AJ46="",0,AVERAGE(AJ$10:AJ46))</f>
        <v>0</v>
      </c>
      <c r="AL46" s="15">
        <f>IF(AJ45="",0,VAR(AJ$10:AJ46))</f>
        <v>0</v>
      </c>
      <c r="AN46" s="2"/>
      <c r="AO46" s="15" t="str">
        <f t="shared" si="16"/>
        <v/>
      </c>
      <c r="AP46" s="15">
        <f>IF(AO46="",0,AVERAGE(AO$10:AO46))</f>
        <v>0</v>
      </c>
      <c r="AQ46" s="15">
        <f>IF(AO45="",0,VAR(AO$10:AO46))</f>
        <v>0</v>
      </c>
      <c r="AS46" s="2"/>
      <c r="AT46" s="15" t="str">
        <f t="shared" si="17"/>
        <v/>
      </c>
      <c r="AU46" s="15">
        <f>IF(AT46="",0,AVERAGE(AT$10:AT46))</f>
        <v>0</v>
      </c>
      <c r="AV46" s="15">
        <f>IF(AT45="",0,VAR(AT$10:AT46))</f>
        <v>0</v>
      </c>
      <c r="AX46" s="2"/>
      <c r="AY46" s="15" t="str">
        <f t="shared" si="18"/>
        <v/>
      </c>
      <c r="AZ46" s="15">
        <f>IF(AY46="",0,AVERAGE(AY$10:AY46))</f>
        <v>0</v>
      </c>
      <c r="BA46" s="15">
        <f>IF(AY45="",0,VAR(AY$10:AY46))</f>
        <v>0</v>
      </c>
    </row>
    <row r="47" spans="3:53" x14ac:dyDescent="0.25">
      <c r="C47" s="2"/>
      <c r="E47" s="2"/>
      <c r="F47" s="15" t="str">
        <f t="shared" si="14"/>
        <v/>
      </c>
      <c r="G47" s="15">
        <f>IF(F47="",0,AVERAGE($F$10:F47))</f>
        <v>0</v>
      </c>
      <c r="H47" s="15">
        <f>IF(F46="",0,VAR($F$10:F47))</f>
        <v>0</v>
      </c>
      <c r="J47" s="2"/>
      <c r="K47" s="15" t="str">
        <f t="shared" si="10"/>
        <v/>
      </c>
      <c r="L47" s="15">
        <f>IF(K47="",0,AVERAGE($K$10:K47))</f>
        <v>0</v>
      </c>
      <c r="M47" s="15">
        <f>IF(K46="",0,VAR($K$10:K47))</f>
        <v>0</v>
      </c>
      <c r="O47" s="2"/>
      <c r="P47" s="15" t="str">
        <f t="shared" si="11"/>
        <v/>
      </c>
      <c r="Q47" s="15">
        <f>IF(P47="",0,AVERAGE(P$10:P47))</f>
        <v>0</v>
      </c>
      <c r="R47" s="15">
        <f>IF(P46="",0,VAR(P$10:P47))</f>
        <v>0</v>
      </c>
      <c r="T47" s="2"/>
      <c r="U47" s="15" t="str">
        <f t="shared" si="19"/>
        <v/>
      </c>
      <c r="V47" s="15">
        <f>IF(U47="",0,AVERAGE(U$10:U47))</f>
        <v>0</v>
      </c>
      <c r="W47" s="15">
        <f>IF(U46="",0,VAR(U$10:U47))</f>
        <v>0</v>
      </c>
      <c r="Y47" s="2"/>
      <c r="Z47" s="15" t="str">
        <f t="shared" si="13"/>
        <v/>
      </c>
      <c r="AA47" s="15">
        <f>IF(Z47="",0,AVERAGE(Z$10:Z47))</f>
        <v>0</v>
      </c>
      <c r="AB47" s="15">
        <f>IF(Z46="",0,VAR(Z$10:Z47))</f>
        <v>0</v>
      </c>
      <c r="AD47" s="2"/>
      <c r="AE47" s="15" t="str">
        <f t="shared" si="20"/>
        <v/>
      </c>
      <c r="AF47" s="15">
        <f>IF(AE47="",0,AVERAGE(AE$10:AE47))</f>
        <v>0</v>
      </c>
      <c r="AG47" s="15">
        <f>IF(AE46="",0,VAR(AE$10:AE47))</f>
        <v>0</v>
      </c>
      <c r="AI47" s="2"/>
      <c r="AJ47" s="15" t="str">
        <f t="shared" si="15"/>
        <v/>
      </c>
      <c r="AK47" s="15">
        <f>IF(AJ47="",0,AVERAGE(AJ$10:AJ47))</f>
        <v>0</v>
      </c>
      <c r="AL47" s="15">
        <f>IF(AJ46="",0,VAR(AJ$10:AJ47))</f>
        <v>0</v>
      </c>
      <c r="AN47" s="2"/>
      <c r="AO47" s="15" t="str">
        <f t="shared" si="16"/>
        <v/>
      </c>
      <c r="AP47" s="15">
        <f>IF(AO47="",0,AVERAGE(AO$10:AO47))</f>
        <v>0</v>
      </c>
      <c r="AQ47" s="15">
        <f>IF(AO46="",0,VAR(AO$10:AO47))</f>
        <v>0</v>
      </c>
      <c r="AS47" s="2"/>
      <c r="AT47" s="15" t="str">
        <f t="shared" si="17"/>
        <v/>
      </c>
      <c r="AU47" s="15">
        <f>IF(AT47="",0,AVERAGE(AT$10:AT47))</f>
        <v>0</v>
      </c>
      <c r="AV47" s="15">
        <f>IF(AT46="",0,VAR(AT$10:AT47))</f>
        <v>0</v>
      </c>
      <c r="AX47" s="2"/>
      <c r="AY47" s="15" t="str">
        <f t="shared" si="18"/>
        <v/>
      </c>
      <c r="AZ47" s="15">
        <f>IF(AY47="",0,AVERAGE(AY$10:AY47))</f>
        <v>0</v>
      </c>
      <c r="BA47" s="15">
        <f>IF(AY46="",0,VAR(AY$10:AY47))</f>
        <v>0</v>
      </c>
    </row>
    <row r="48" spans="3:53" x14ac:dyDescent="0.25">
      <c r="C48" s="2"/>
      <c r="E48" s="2"/>
      <c r="F48" s="15"/>
      <c r="G48" s="15">
        <f>IF(F48="",0,AVERAGE($F$10:F48))</f>
        <v>0</v>
      </c>
      <c r="H48" s="15">
        <f>IF(F47="",0,VAR($F$10:F48))</f>
        <v>0</v>
      </c>
      <c r="J48" s="2"/>
      <c r="K48" s="15" t="str">
        <f t="shared" si="10"/>
        <v/>
      </c>
      <c r="L48" s="15">
        <f>IF(K48="",0,AVERAGE($K$10:K48))</f>
        <v>0</v>
      </c>
      <c r="M48" s="15">
        <f>IF(K47="",0,VAR($K$10:K48))</f>
        <v>0</v>
      </c>
      <c r="O48" s="2"/>
      <c r="P48" s="15" t="str">
        <f t="shared" si="11"/>
        <v/>
      </c>
      <c r="Q48" s="15">
        <f>IF(P48="",0,AVERAGE(P$10:P48))</f>
        <v>0</v>
      </c>
      <c r="R48" s="15">
        <f>IF(P47="",0,VAR(P$10:P48))</f>
        <v>0</v>
      </c>
      <c r="T48" s="2"/>
      <c r="U48" s="15" t="str">
        <f t="shared" si="19"/>
        <v/>
      </c>
      <c r="V48" s="15">
        <f>IF(U48="",0,AVERAGE(U$10:U48))</f>
        <v>0</v>
      </c>
      <c r="W48" s="15">
        <f>IF(U47="",0,VAR(U$10:U48))</f>
        <v>0</v>
      </c>
      <c r="Y48" s="2"/>
      <c r="Z48" s="15" t="str">
        <f t="shared" si="13"/>
        <v/>
      </c>
      <c r="AA48" s="15">
        <f>IF(Z48="",0,AVERAGE(Z$10:Z48))</f>
        <v>0</v>
      </c>
      <c r="AB48" s="15">
        <f>IF(Z47="",0,VAR(Z$10:Z48))</f>
        <v>0</v>
      </c>
      <c r="AD48" s="2"/>
      <c r="AE48" s="15" t="str">
        <f t="shared" si="20"/>
        <v/>
      </c>
      <c r="AF48" s="15">
        <f>IF(AE48="",0,AVERAGE(AE$10:AE48))</f>
        <v>0</v>
      </c>
      <c r="AG48" s="15">
        <f>IF(AE47="",0,VAR(AE$10:AE48))</f>
        <v>0</v>
      </c>
      <c r="AI48" s="2"/>
      <c r="AJ48" s="15" t="str">
        <f t="shared" si="15"/>
        <v/>
      </c>
      <c r="AK48" s="15">
        <f>IF(AJ48="",0,AVERAGE(AJ$10:AJ48))</f>
        <v>0</v>
      </c>
      <c r="AL48" s="15">
        <f>IF(AJ47="",0,VAR(AJ$10:AJ48))</f>
        <v>0</v>
      </c>
      <c r="AN48" s="2"/>
      <c r="AO48" s="15" t="str">
        <f t="shared" si="16"/>
        <v/>
      </c>
      <c r="AP48" s="15">
        <f>IF(AO48="",0,AVERAGE(AO$10:AO48))</f>
        <v>0</v>
      </c>
      <c r="AQ48" s="15">
        <f>IF(AO47="",0,VAR(AO$10:AO48))</f>
        <v>0</v>
      </c>
      <c r="AS48" s="2"/>
      <c r="AT48" s="15" t="str">
        <f t="shared" si="17"/>
        <v/>
      </c>
      <c r="AU48" s="15">
        <f>IF(AT48="",0,AVERAGE(AT$10:AT48))</f>
        <v>0</v>
      </c>
      <c r="AV48" s="15">
        <f>IF(AT47="",0,VAR(AT$10:AT48))</f>
        <v>0</v>
      </c>
      <c r="AX48" s="2"/>
      <c r="AY48" s="15" t="str">
        <f t="shared" si="18"/>
        <v/>
      </c>
      <c r="AZ48" s="15">
        <f>IF(AY48="",0,AVERAGE(AY$10:AY48))</f>
        <v>0</v>
      </c>
      <c r="BA48" s="15">
        <f>IF(AY47="",0,VAR(AY$10:AY48))</f>
        <v>0</v>
      </c>
    </row>
    <row r="49" spans="3:53" x14ac:dyDescent="0.25">
      <c r="C49" s="2"/>
      <c r="E49" s="2"/>
      <c r="F49" s="15" t="str">
        <f t="shared" ref="F49" si="32">IF(E49="","",+(E49-E48)/E48)</f>
        <v/>
      </c>
      <c r="G49" s="15">
        <f>IF(F49="",0,AVERAGE($F$10:F49))</f>
        <v>0</v>
      </c>
      <c r="H49" s="15">
        <f>IF(F48="",0,VAR($F$10:F49))</f>
        <v>0</v>
      </c>
      <c r="J49" s="2"/>
      <c r="K49" s="15" t="str">
        <f t="shared" si="10"/>
        <v/>
      </c>
      <c r="L49" s="15">
        <f>IF(K49="",0,AVERAGE($K$10:K49))</f>
        <v>0</v>
      </c>
      <c r="M49" s="15">
        <f>IF(K48="",0,VAR($K$10:K49))</f>
        <v>0</v>
      </c>
      <c r="O49" s="2"/>
      <c r="P49" s="15" t="str">
        <f t="shared" si="11"/>
        <v/>
      </c>
      <c r="Q49" s="15">
        <f>IF(P49="",0,AVERAGE(P$10:P49))</f>
        <v>0</v>
      </c>
      <c r="R49" s="15">
        <f>IF(P48="",0,VAR(P$10:P49))</f>
        <v>0</v>
      </c>
      <c r="T49" s="2"/>
      <c r="U49" s="15" t="str">
        <f t="shared" si="19"/>
        <v/>
      </c>
      <c r="V49" s="15">
        <f>IF(U49="",0,AVERAGE(U$10:U49))</f>
        <v>0</v>
      </c>
      <c r="W49" s="15">
        <f>IF(U48="",0,VAR(U$10:U49))</f>
        <v>0</v>
      </c>
      <c r="Y49" s="2"/>
      <c r="Z49" s="15" t="str">
        <f t="shared" si="13"/>
        <v/>
      </c>
      <c r="AA49" s="15">
        <f>IF(Z49="",0,AVERAGE(Z$10:Z49))</f>
        <v>0</v>
      </c>
      <c r="AB49" s="15">
        <f>IF(Z48="",0,VAR(Z$10:Z49))</f>
        <v>0</v>
      </c>
      <c r="AD49" s="2"/>
      <c r="AE49" s="15" t="str">
        <f t="shared" si="20"/>
        <v/>
      </c>
      <c r="AF49" s="15">
        <f>IF(AE49="",0,AVERAGE(AE$10:AE49))</f>
        <v>0</v>
      </c>
      <c r="AG49" s="15">
        <f>IF(AE48="",0,VAR(AE$10:AE49))</f>
        <v>0</v>
      </c>
      <c r="AI49" s="2"/>
      <c r="AJ49" s="15" t="str">
        <f t="shared" si="15"/>
        <v/>
      </c>
      <c r="AK49" s="15">
        <f>IF(AJ49="",0,AVERAGE(AJ$10:AJ49))</f>
        <v>0</v>
      </c>
      <c r="AL49" s="15">
        <f>IF(AJ48="",0,VAR(AJ$10:AJ49))</f>
        <v>0</v>
      </c>
      <c r="AN49" s="2"/>
      <c r="AO49" s="15" t="str">
        <f t="shared" si="16"/>
        <v/>
      </c>
      <c r="AP49" s="15">
        <f>IF(AO49="",0,AVERAGE(AO$10:AO49))</f>
        <v>0</v>
      </c>
      <c r="AQ49" s="15">
        <f>IF(AO48="",0,VAR(AO$10:AO49))</f>
        <v>0</v>
      </c>
      <c r="AS49" s="2"/>
      <c r="AT49" s="15" t="str">
        <f t="shared" si="17"/>
        <v/>
      </c>
      <c r="AU49" s="15">
        <f>IF(AT49="",0,AVERAGE(AT$10:AT49))</f>
        <v>0</v>
      </c>
      <c r="AV49" s="15">
        <f>IF(AT48="",0,VAR(AT$10:AT49))</f>
        <v>0</v>
      </c>
      <c r="AX49" s="2"/>
      <c r="AY49" s="15" t="str">
        <f t="shared" si="18"/>
        <v/>
      </c>
      <c r="AZ49" s="15">
        <f>IF(AY49="",0,AVERAGE(AY$10:AY49))</f>
        <v>0</v>
      </c>
      <c r="BA49" s="15">
        <f>IF(AY48="",0,VAR(AY$10:AY49))</f>
        <v>0</v>
      </c>
    </row>
    <row r="50" spans="3:53" x14ac:dyDescent="0.25">
      <c r="C50" s="2"/>
      <c r="E50" s="2"/>
      <c r="F50" s="15" t="str">
        <f t="shared" si="14"/>
        <v/>
      </c>
      <c r="G50" s="15">
        <f>IF(F50="",0,AVERAGE($F$10:F50))</f>
        <v>0</v>
      </c>
      <c r="H50" s="15">
        <f>IF(F49="",0,VAR($F$10:F50))</f>
        <v>0</v>
      </c>
      <c r="J50" s="2"/>
      <c r="K50" s="15" t="str">
        <f t="shared" si="10"/>
        <v/>
      </c>
      <c r="L50" s="15">
        <f>IF(K50="",0,AVERAGE($K$10:K50))</f>
        <v>0</v>
      </c>
      <c r="M50" s="15">
        <f>IF(K49="",0,VAR($K$10:K50))</f>
        <v>0</v>
      </c>
      <c r="O50" s="2"/>
      <c r="P50" s="15" t="str">
        <f t="shared" si="11"/>
        <v/>
      </c>
      <c r="Q50" s="15">
        <f>IF(P50="",0,AVERAGE(P$10:P50))</f>
        <v>0</v>
      </c>
      <c r="R50" s="15">
        <f>IF(P49="",0,VAR(P$10:P50))</f>
        <v>0</v>
      </c>
      <c r="T50" s="2"/>
      <c r="U50" s="15" t="str">
        <f t="shared" si="19"/>
        <v/>
      </c>
      <c r="V50" s="15">
        <f>IF(U50="",0,AVERAGE(U$10:U50))</f>
        <v>0</v>
      </c>
      <c r="W50" s="15">
        <f>IF(U49="",0,VAR(U$10:U50))</f>
        <v>0</v>
      </c>
      <c r="Y50" s="2"/>
      <c r="Z50" s="15" t="str">
        <f t="shared" si="13"/>
        <v/>
      </c>
      <c r="AA50" s="15">
        <f>IF(Z50="",0,AVERAGE(Z$10:Z50))</f>
        <v>0</v>
      </c>
      <c r="AB50" s="15">
        <f>IF(Z49="",0,VAR(Z$10:Z50))</f>
        <v>0</v>
      </c>
      <c r="AD50" s="2"/>
      <c r="AE50" s="15" t="str">
        <f t="shared" si="20"/>
        <v/>
      </c>
      <c r="AF50" s="15">
        <f>IF(AE50="",0,AVERAGE(AE$10:AE50))</f>
        <v>0</v>
      </c>
      <c r="AG50" s="15">
        <f>IF(AE49="",0,VAR(AE$10:AE50))</f>
        <v>0</v>
      </c>
      <c r="AI50" s="2"/>
      <c r="AJ50" s="15" t="str">
        <f t="shared" si="15"/>
        <v/>
      </c>
      <c r="AK50" s="15">
        <f>IF(AJ50="",0,AVERAGE(AJ$10:AJ50))</f>
        <v>0</v>
      </c>
      <c r="AL50" s="15">
        <f>IF(AJ49="",0,VAR(AJ$10:AJ50))</f>
        <v>0</v>
      </c>
      <c r="AN50" s="2"/>
      <c r="AO50" s="15" t="str">
        <f t="shared" si="16"/>
        <v/>
      </c>
      <c r="AP50" s="15">
        <f>IF(AO50="",0,AVERAGE(AO$10:AO50))</f>
        <v>0</v>
      </c>
      <c r="AQ50" s="15">
        <f>IF(AO49="",0,VAR(AO$10:AO50))</f>
        <v>0</v>
      </c>
      <c r="AS50" s="2"/>
      <c r="AT50" s="15" t="str">
        <f t="shared" si="17"/>
        <v/>
      </c>
      <c r="AU50" s="15">
        <f>IF(AT50="",0,AVERAGE(AT$10:AT50))</f>
        <v>0</v>
      </c>
      <c r="AV50" s="15">
        <f>IF(AT49="",0,VAR(AT$10:AT50))</f>
        <v>0</v>
      </c>
      <c r="AX50" s="2"/>
      <c r="AY50" s="15" t="str">
        <f t="shared" si="18"/>
        <v/>
      </c>
      <c r="AZ50" s="15">
        <f>IF(AY50="",0,AVERAGE(AY$10:AY50))</f>
        <v>0</v>
      </c>
      <c r="BA50" s="15">
        <f>IF(AY49="",0,VAR(AY$10:AY50))</f>
        <v>0</v>
      </c>
    </row>
    <row r="51" spans="3:53" x14ac:dyDescent="0.25">
      <c r="C51" s="2"/>
      <c r="E51" s="2"/>
      <c r="F51" s="15"/>
      <c r="G51" s="15">
        <f>IF(F51="",0,AVERAGE($F$10:F51))</f>
        <v>0</v>
      </c>
      <c r="H51" s="15">
        <f>IF(F50="",0,VAR($F$10:F51))</f>
        <v>0</v>
      </c>
      <c r="J51" s="2"/>
      <c r="K51" s="15" t="str">
        <f t="shared" si="10"/>
        <v/>
      </c>
      <c r="L51" s="15">
        <f>IF(K51="",0,AVERAGE($K$10:K51))</f>
        <v>0</v>
      </c>
      <c r="M51" s="15">
        <f>IF(K50="",0,VAR($K$10:K51))</f>
        <v>0</v>
      </c>
      <c r="O51" s="2"/>
      <c r="P51" s="15" t="str">
        <f t="shared" si="11"/>
        <v/>
      </c>
      <c r="Q51" s="15">
        <f>IF(P51="",0,AVERAGE(P$10:P51))</f>
        <v>0</v>
      </c>
      <c r="R51" s="15">
        <f>IF(P50="",0,VAR(P$10:P51))</f>
        <v>0</v>
      </c>
      <c r="T51" s="2"/>
      <c r="U51" s="15" t="str">
        <f t="shared" si="19"/>
        <v/>
      </c>
      <c r="V51" s="15">
        <f>IF(U51="",0,AVERAGE(U$10:U51))</f>
        <v>0</v>
      </c>
      <c r="W51" s="15">
        <f>IF(U50="",0,VAR(U$10:U51))</f>
        <v>0</v>
      </c>
      <c r="Y51" s="2"/>
      <c r="Z51" s="15" t="str">
        <f t="shared" si="13"/>
        <v/>
      </c>
      <c r="AA51" s="15">
        <f>IF(Z51="",0,AVERAGE(Z$10:Z51))</f>
        <v>0</v>
      </c>
      <c r="AB51" s="15">
        <f>IF(Z50="",0,VAR(Z$10:Z51))</f>
        <v>0</v>
      </c>
      <c r="AD51" s="2"/>
      <c r="AE51" s="15" t="str">
        <f t="shared" si="20"/>
        <v/>
      </c>
      <c r="AF51" s="15">
        <f>IF(AE51="",0,AVERAGE(AE$10:AE51))</f>
        <v>0</v>
      </c>
      <c r="AG51" s="15">
        <f>IF(AE50="",0,VAR(AE$10:AE51))</f>
        <v>0</v>
      </c>
      <c r="AI51" s="2"/>
      <c r="AJ51" s="15" t="str">
        <f t="shared" si="15"/>
        <v/>
      </c>
      <c r="AK51" s="15">
        <f>IF(AJ51="",0,AVERAGE(AJ$10:AJ51))</f>
        <v>0</v>
      </c>
      <c r="AL51" s="15">
        <f>IF(AJ50="",0,VAR(AJ$10:AJ51))</f>
        <v>0</v>
      </c>
      <c r="AN51" s="2"/>
      <c r="AO51" s="15" t="str">
        <f t="shared" si="16"/>
        <v/>
      </c>
      <c r="AP51" s="15">
        <f>IF(AO51="",0,AVERAGE(AO$10:AO51))</f>
        <v>0</v>
      </c>
      <c r="AQ51" s="15">
        <f>IF(AO50="",0,VAR(AO$10:AO51))</f>
        <v>0</v>
      </c>
      <c r="AS51" s="2"/>
      <c r="AT51" s="15" t="str">
        <f t="shared" si="17"/>
        <v/>
      </c>
      <c r="AU51" s="15">
        <f>IF(AT51="",0,AVERAGE(AT$10:AT51))</f>
        <v>0</v>
      </c>
      <c r="AV51" s="15">
        <f>IF(AT50="",0,VAR(AT$10:AT51))</f>
        <v>0</v>
      </c>
      <c r="AX51" s="2"/>
      <c r="AY51" s="15" t="str">
        <f t="shared" si="18"/>
        <v/>
      </c>
      <c r="AZ51" s="15">
        <f>IF(AY51="",0,AVERAGE(AY$10:AY51))</f>
        <v>0</v>
      </c>
      <c r="BA51" s="15">
        <f>IF(AY50="",0,VAR(AY$10:AY51))</f>
        <v>0</v>
      </c>
    </row>
    <row r="52" spans="3:53" x14ac:dyDescent="0.25">
      <c r="C52" s="2"/>
      <c r="E52" s="2"/>
      <c r="F52" s="15" t="str">
        <f t="shared" ref="F52" si="33">IF(E52="","",+(E52-E51)/E51)</f>
        <v/>
      </c>
      <c r="G52" s="15">
        <f>IF(F52="",0,AVERAGE($F$10:F52))</f>
        <v>0</v>
      </c>
      <c r="H52" s="15">
        <f>IF(F51="",0,VAR($F$10:F52))</f>
        <v>0</v>
      </c>
      <c r="J52" s="2"/>
      <c r="K52" s="15" t="str">
        <f t="shared" si="10"/>
        <v/>
      </c>
      <c r="L52" s="15">
        <f>IF(K52="",0,AVERAGE($K$10:K52))</f>
        <v>0</v>
      </c>
      <c r="M52" s="15">
        <f>IF(K51="",0,VAR($K$10:K52))</f>
        <v>0</v>
      </c>
      <c r="O52" s="2"/>
      <c r="P52" s="15" t="str">
        <f t="shared" si="11"/>
        <v/>
      </c>
      <c r="Q52" s="15">
        <f>IF(P52="",0,AVERAGE(P$10:P52))</f>
        <v>0</v>
      </c>
      <c r="R52" s="15">
        <f>IF(P51="",0,VAR(P$10:P52))</f>
        <v>0</v>
      </c>
      <c r="T52" s="2"/>
      <c r="U52" s="15" t="str">
        <f t="shared" si="19"/>
        <v/>
      </c>
      <c r="V52" s="15">
        <f>IF(U52="",0,AVERAGE(U$10:U52))</f>
        <v>0</v>
      </c>
      <c r="W52" s="15">
        <f>IF(U51="",0,VAR(U$10:U52))</f>
        <v>0</v>
      </c>
      <c r="Y52" s="2"/>
      <c r="Z52" s="15" t="str">
        <f t="shared" si="13"/>
        <v/>
      </c>
      <c r="AA52" s="15">
        <f>IF(Z52="",0,AVERAGE(Z$10:Z52))</f>
        <v>0</v>
      </c>
      <c r="AB52" s="15">
        <f>IF(Z51="",0,VAR(Z$10:Z52))</f>
        <v>0</v>
      </c>
      <c r="AD52" s="2"/>
      <c r="AE52" s="15" t="str">
        <f t="shared" si="20"/>
        <v/>
      </c>
      <c r="AF52" s="15">
        <f>IF(AE52="",0,AVERAGE(AE$10:AE52))</f>
        <v>0</v>
      </c>
      <c r="AG52" s="15">
        <f>IF(AE51="",0,VAR(AE$10:AE52))</f>
        <v>0</v>
      </c>
      <c r="AI52" s="2"/>
      <c r="AJ52" s="15" t="str">
        <f t="shared" si="15"/>
        <v/>
      </c>
      <c r="AK52" s="15">
        <f>IF(AJ52="",0,AVERAGE(AJ$10:AJ52))</f>
        <v>0</v>
      </c>
      <c r="AL52" s="15">
        <f>IF(AJ51="",0,VAR(AJ$10:AJ52))</f>
        <v>0</v>
      </c>
      <c r="AN52" s="2"/>
      <c r="AO52" s="15" t="str">
        <f t="shared" si="16"/>
        <v/>
      </c>
      <c r="AP52" s="15">
        <f>IF(AO52="",0,AVERAGE(AO$10:AO52))</f>
        <v>0</v>
      </c>
      <c r="AQ52" s="15">
        <f>IF(AO51="",0,VAR(AO$10:AO52))</f>
        <v>0</v>
      </c>
      <c r="AS52" s="2"/>
      <c r="AT52" s="15" t="str">
        <f t="shared" si="17"/>
        <v/>
      </c>
      <c r="AU52" s="15">
        <f>IF(AT52="",0,AVERAGE(AT$10:AT52))</f>
        <v>0</v>
      </c>
      <c r="AV52" s="15">
        <f>IF(AT51="",0,VAR(AT$10:AT52))</f>
        <v>0</v>
      </c>
      <c r="AX52" s="2"/>
      <c r="AY52" s="15" t="str">
        <f t="shared" si="18"/>
        <v/>
      </c>
      <c r="AZ52" s="15">
        <f>IF(AY52="",0,AVERAGE(AY$10:AY52))</f>
        <v>0</v>
      </c>
      <c r="BA52" s="15">
        <f>IF(AY51="",0,VAR(AY$10:AY52))</f>
        <v>0</v>
      </c>
    </row>
    <row r="53" spans="3:53" x14ac:dyDescent="0.25">
      <c r="C53" s="2"/>
      <c r="E53" s="2"/>
      <c r="F53" s="15" t="str">
        <f t="shared" si="14"/>
        <v/>
      </c>
      <c r="G53" s="15">
        <f>IF(F53="",0,AVERAGE($F$10:F53))</f>
        <v>0</v>
      </c>
      <c r="H53" s="15">
        <f>IF(F52="",0,VAR($F$10:F53))</f>
        <v>0</v>
      </c>
      <c r="J53" s="2"/>
      <c r="K53" s="15" t="str">
        <f t="shared" si="10"/>
        <v/>
      </c>
      <c r="L53" s="15">
        <f>IF(K53="",0,AVERAGE($K$10:K53))</f>
        <v>0</v>
      </c>
      <c r="M53" s="15">
        <f>IF(K52="",0,VAR($K$10:K53))</f>
        <v>0</v>
      </c>
      <c r="O53" s="2"/>
      <c r="P53" s="15" t="str">
        <f t="shared" si="11"/>
        <v/>
      </c>
      <c r="Q53" s="15">
        <f>IF(P53="",0,AVERAGE(P$10:P53))</f>
        <v>0</v>
      </c>
      <c r="R53" s="15">
        <f>IF(P52="",0,VAR(P$10:P53))</f>
        <v>0</v>
      </c>
      <c r="T53" s="2"/>
      <c r="U53" s="15" t="str">
        <f t="shared" si="19"/>
        <v/>
      </c>
      <c r="V53" s="15">
        <f>IF(U53="",0,AVERAGE(U$10:U53))</f>
        <v>0</v>
      </c>
      <c r="W53" s="15">
        <f>IF(U52="",0,VAR(U$10:U53))</f>
        <v>0</v>
      </c>
      <c r="Y53" s="2"/>
      <c r="Z53" s="15" t="str">
        <f t="shared" si="13"/>
        <v/>
      </c>
      <c r="AA53" s="15">
        <f>IF(Z53="",0,AVERAGE(Z$10:Z53))</f>
        <v>0</v>
      </c>
      <c r="AB53" s="15">
        <f>IF(Z52="",0,VAR(Z$10:Z53))</f>
        <v>0</v>
      </c>
      <c r="AD53" s="2"/>
      <c r="AE53" s="15" t="str">
        <f t="shared" si="20"/>
        <v/>
      </c>
      <c r="AF53" s="15">
        <f>IF(AE53="",0,AVERAGE(AE$10:AE53))</f>
        <v>0</v>
      </c>
      <c r="AG53" s="15">
        <f>IF(AE52="",0,VAR(AE$10:AE53))</f>
        <v>0</v>
      </c>
      <c r="AI53" s="2"/>
      <c r="AJ53" s="15" t="str">
        <f t="shared" si="15"/>
        <v/>
      </c>
      <c r="AK53" s="15">
        <f>IF(AJ53="",0,AVERAGE(AJ$10:AJ53))</f>
        <v>0</v>
      </c>
      <c r="AL53" s="15">
        <f>IF(AJ52="",0,VAR(AJ$10:AJ53))</f>
        <v>0</v>
      </c>
      <c r="AN53" s="2"/>
      <c r="AO53" s="15" t="str">
        <f t="shared" si="16"/>
        <v/>
      </c>
      <c r="AP53" s="15">
        <f>IF(AO53="",0,AVERAGE(AO$10:AO53))</f>
        <v>0</v>
      </c>
      <c r="AQ53" s="15">
        <f>IF(AO52="",0,VAR(AO$10:AO53))</f>
        <v>0</v>
      </c>
      <c r="AS53" s="2"/>
      <c r="AT53" s="15" t="str">
        <f t="shared" si="17"/>
        <v/>
      </c>
      <c r="AU53" s="15">
        <f>IF(AT53="",0,AVERAGE(AT$10:AT53))</f>
        <v>0</v>
      </c>
      <c r="AV53" s="15">
        <f>IF(AT52="",0,VAR(AT$10:AT53))</f>
        <v>0</v>
      </c>
      <c r="AX53" s="2"/>
      <c r="AY53" s="15" t="str">
        <f t="shared" si="18"/>
        <v/>
      </c>
      <c r="AZ53" s="15">
        <f>IF(AY53="",0,AVERAGE(AY$10:AY53))</f>
        <v>0</v>
      </c>
      <c r="BA53" s="15">
        <f>IF(AY52="",0,VAR(AY$10:AY53))</f>
        <v>0</v>
      </c>
    </row>
    <row r="54" spans="3:53" x14ac:dyDescent="0.25">
      <c r="C54" s="2"/>
      <c r="E54" s="2"/>
      <c r="F54" s="15"/>
      <c r="G54" s="15">
        <f>IF(F54="",0,AVERAGE($F$10:F54))</f>
        <v>0</v>
      </c>
      <c r="H54" s="15">
        <f>IF(F53="",0,VAR($F$10:F54))</f>
        <v>0</v>
      </c>
      <c r="J54" s="2"/>
      <c r="K54" s="15" t="str">
        <f t="shared" si="10"/>
        <v/>
      </c>
      <c r="L54" s="15">
        <f>IF(K54="",0,AVERAGE($K$10:K54))</f>
        <v>0</v>
      </c>
      <c r="M54" s="15">
        <f>IF(K53="",0,VAR($K$10:K54))</f>
        <v>0</v>
      </c>
      <c r="O54" s="2"/>
      <c r="P54" s="15" t="str">
        <f t="shared" si="11"/>
        <v/>
      </c>
      <c r="Q54" s="15">
        <f>IF(P54="",0,AVERAGE(P$10:P54))</f>
        <v>0</v>
      </c>
      <c r="R54" s="15">
        <f>IF(P53="",0,VAR(P$10:P54))</f>
        <v>0</v>
      </c>
      <c r="T54" s="2"/>
      <c r="U54" s="15" t="str">
        <f t="shared" si="19"/>
        <v/>
      </c>
      <c r="V54" s="15">
        <f>IF(U54="",0,AVERAGE(U$10:U54))</f>
        <v>0</v>
      </c>
      <c r="W54" s="15">
        <f>IF(U53="",0,VAR(U$10:U54))</f>
        <v>0</v>
      </c>
      <c r="Y54" s="2"/>
      <c r="Z54" s="15" t="str">
        <f t="shared" si="13"/>
        <v/>
      </c>
      <c r="AA54" s="15">
        <f>IF(Z54="",0,AVERAGE(Z$10:Z54))</f>
        <v>0</v>
      </c>
      <c r="AB54" s="15">
        <f>IF(Z53="",0,VAR(Z$10:Z54))</f>
        <v>0</v>
      </c>
      <c r="AD54" s="2"/>
      <c r="AE54" s="15" t="str">
        <f t="shared" si="20"/>
        <v/>
      </c>
      <c r="AF54" s="15">
        <f>IF(AE54="",0,AVERAGE(AE$10:AE54))</f>
        <v>0</v>
      </c>
      <c r="AG54" s="15">
        <f>IF(AE53="",0,VAR(AE$10:AE54))</f>
        <v>0</v>
      </c>
      <c r="AI54" s="2"/>
      <c r="AJ54" s="15" t="str">
        <f t="shared" si="15"/>
        <v/>
      </c>
      <c r="AK54" s="15">
        <f>IF(AJ54="",0,AVERAGE(AJ$10:AJ54))</f>
        <v>0</v>
      </c>
      <c r="AL54" s="15">
        <f>IF(AJ53="",0,VAR(AJ$10:AJ54))</f>
        <v>0</v>
      </c>
      <c r="AN54" s="2"/>
      <c r="AO54" s="15" t="str">
        <f t="shared" si="16"/>
        <v/>
      </c>
      <c r="AP54" s="15">
        <f>IF(AO54="",0,AVERAGE(AO$10:AO54))</f>
        <v>0</v>
      </c>
      <c r="AQ54" s="15">
        <f>IF(AO53="",0,VAR(AO$10:AO54))</f>
        <v>0</v>
      </c>
      <c r="AS54" s="2"/>
      <c r="AT54" s="15" t="str">
        <f t="shared" si="17"/>
        <v/>
      </c>
      <c r="AU54" s="15">
        <f>IF(AT54="",0,AVERAGE(AT$10:AT54))</f>
        <v>0</v>
      </c>
      <c r="AV54" s="15">
        <f>IF(AT53="",0,VAR(AT$10:AT54))</f>
        <v>0</v>
      </c>
      <c r="AX54" s="2"/>
      <c r="AY54" s="15" t="str">
        <f t="shared" si="18"/>
        <v/>
      </c>
      <c r="AZ54" s="15">
        <f>IF(AY54="",0,AVERAGE(AY$10:AY54))</f>
        <v>0</v>
      </c>
      <c r="BA54" s="15">
        <f>IF(AY53="",0,VAR(AY$10:AY54))</f>
        <v>0</v>
      </c>
    </row>
    <row r="55" spans="3:53" x14ac:dyDescent="0.25">
      <c r="C55" s="2"/>
      <c r="E55" s="2"/>
      <c r="F55" s="15" t="str">
        <f t="shared" ref="F55" si="34">IF(E55="","",+(E55-E54)/E54)</f>
        <v/>
      </c>
      <c r="G55" s="15">
        <f>IF(F55="",0,AVERAGE($F$10:F55))</f>
        <v>0</v>
      </c>
      <c r="H55" s="15">
        <f>IF(F54="",0,VAR($F$10:F55))</f>
        <v>0</v>
      </c>
      <c r="J55" s="2"/>
      <c r="K55" s="15" t="str">
        <f t="shared" si="10"/>
        <v/>
      </c>
      <c r="L55" s="15">
        <f>IF(K55="",0,AVERAGE($K$10:K55))</f>
        <v>0</v>
      </c>
      <c r="M55" s="15">
        <f>IF(K54="",0,VAR($K$10:K55))</f>
        <v>0</v>
      </c>
      <c r="O55" s="2"/>
      <c r="P55" s="15" t="str">
        <f t="shared" si="11"/>
        <v/>
      </c>
      <c r="Q55" s="15">
        <f>IF(P55="",0,AVERAGE(P$10:P55))</f>
        <v>0</v>
      </c>
      <c r="R55" s="15">
        <f>IF(P54="",0,VAR(P$10:P55))</f>
        <v>0</v>
      </c>
      <c r="T55" s="2"/>
      <c r="U55" s="15" t="str">
        <f t="shared" si="19"/>
        <v/>
      </c>
      <c r="V55" s="15">
        <f>IF(U55="",0,AVERAGE(U$10:U55))</f>
        <v>0</v>
      </c>
      <c r="W55" s="15">
        <f>IF(U54="",0,VAR(U$10:U55))</f>
        <v>0</v>
      </c>
      <c r="Y55" s="2"/>
      <c r="Z55" s="15" t="str">
        <f t="shared" si="13"/>
        <v/>
      </c>
      <c r="AA55" s="15">
        <f>IF(Z55="",0,AVERAGE(Z$10:Z55))</f>
        <v>0</v>
      </c>
      <c r="AB55" s="15">
        <f>IF(Z54="",0,VAR(Z$10:Z55))</f>
        <v>0</v>
      </c>
      <c r="AD55" s="2"/>
      <c r="AE55" s="15" t="str">
        <f t="shared" si="20"/>
        <v/>
      </c>
      <c r="AF55" s="15">
        <f>IF(AE55="",0,AVERAGE(AE$10:AE55))</f>
        <v>0</v>
      </c>
      <c r="AG55" s="15">
        <f>IF(AE54="",0,VAR(AE$10:AE55))</f>
        <v>0</v>
      </c>
      <c r="AI55" s="2"/>
      <c r="AJ55" s="15" t="str">
        <f t="shared" si="15"/>
        <v/>
      </c>
      <c r="AK55" s="15">
        <f>IF(AJ55="",0,AVERAGE(AJ$10:AJ55))</f>
        <v>0</v>
      </c>
      <c r="AL55" s="15">
        <f>IF(AJ54="",0,VAR(AJ$10:AJ55))</f>
        <v>0</v>
      </c>
      <c r="AN55" s="2"/>
      <c r="AO55" s="15" t="str">
        <f t="shared" si="16"/>
        <v/>
      </c>
      <c r="AP55" s="15">
        <f>IF(AO55="",0,AVERAGE(AO$10:AO55))</f>
        <v>0</v>
      </c>
      <c r="AQ55" s="15">
        <f>IF(AO54="",0,VAR(AO$10:AO55))</f>
        <v>0</v>
      </c>
      <c r="AS55" s="2"/>
      <c r="AT55" s="15" t="str">
        <f t="shared" si="17"/>
        <v/>
      </c>
      <c r="AU55" s="15">
        <f>IF(AT55="",0,AVERAGE(AT$10:AT55))</f>
        <v>0</v>
      </c>
      <c r="AV55" s="15">
        <f>IF(AT54="",0,VAR(AT$10:AT55))</f>
        <v>0</v>
      </c>
      <c r="AX55" s="2"/>
      <c r="AY55" s="15" t="str">
        <f t="shared" si="18"/>
        <v/>
      </c>
      <c r="AZ55" s="15">
        <f>IF(AY55="",0,AVERAGE(AY$10:AY55))</f>
        <v>0</v>
      </c>
      <c r="BA55" s="15">
        <f>IF(AY54="",0,VAR(AY$10:AY55))</f>
        <v>0</v>
      </c>
    </row>
    <row r="56" spans="3:53" x14ac:dyDescent="0.25">
      <c r="C56" s="2"/>
      <c r="E56" s="2"/>
      <c r="F56" s="15" t="str">
        <f t="shared" si="14"/>
        <v/>
      </c>
      <c r="G56" s="15">
        <f>IF(F56="",0,AVERAGE($F$10:F56))</f>
        <v>0</v>
      </c>
      <c r="H56" s="15">
        <f>IF(F55="",0,VAR($F$10:F56))</f>
        <v>0</v>
      </c>
      <c r="J56" s="2"/>
      <c r="K56" s="15" t="str">
        <f t="shared" si="10"/>
        <v/>
      </c>
      <c r="L56" s="15">
        <f>IF(K56="",0,AVERAGE($K$10:K56))</f>
        <v>0</v>
      </c>
      <c r="M56" s="15">
        <f>IF(K55="",0,VAR($K$10:K56))</f>
        <v>0</v>
      </c>
      <c r="O56" s="2"/>
      <c r="P56" s="15" t="str">
        <f t="shared" si="11"/>
        <v/>
      </c>
      <c r="Q56" s="15">
        <f>IF(P56="",0,AVERAGE(P$10:P56))</f>
        <v>0</v>
      </c>
      <c r="R56" s="15">
        <f>IF(P55="",0,VAR(P$10:P56))</f>
        <v>0</v>
      </c>
      <c r="T56" s="2"/>
      <c r="U56" s="15" t="str">
        <f t="shared" si="19"/>
        <v/>
      </c>
      <c r="V56" s="15">
        <f>IF(U56="",0,AVERAGE(U$10:U56))</f>
        <v>0</v>
      </c>
      <c r="W56" s="15">
        <f>IF(U55="",0,VAR(U$10:U56))</f>
        <v>0</v>
      </c>
      <c r="Y56" s="2"/>
      <c r="Z56" s="15" t="str">
        <f t="shared" si="13"/>
        <v/>
      </c>
      <c r="AA56" s="15">
        <f>IF(Z56="",0,AVERAGE(Z$10:Z56))</f>
        <v>0</v>
      </c>
      <c r="AB56" s="15">
        <f>IF(Z55="",0,VAR(Z$10:Z56))</f>
        <v>0</v>
      </c>
      <c r="AD56" s="2"/>
      <c r="AE56" s="15" t="str">
        <f t="shared" si="20"/>
        <v/>
      </c>
      <c r="AF56" s="15">
        <f>IF(AE56="",0,AVERAGE(AE$10:AE56))</f>
        <v>0</v>
      </c>
      <c r="AG56" s="15">
        <f>IF(AE55="",0,VAR(AE$10:AE56))</f>
        <v>0</v>
      </c>
      <c r="AI56" s="2"/>
      <c r="AJ56" s="15" t="str">
        <f t="shared" si="15"/>
        <v/>
      </c>
      <c r="AK56" s="15">
        <f>IF(AJ56="",0,AVERAGE(AJ$10:AJ56))</f>
        <v>0</v>
      </c>
      <c r="AL56" s="15">
        <f>IF(AJ55="",0,VAR(AJ$10:AJ56))</f>
        <v>0</v>
      </c>
      <c r="AN56" s="2"/>
      <c r="AO56" s="15" t="str">
        <f t="shared" si="16"/>
        <v/>
      </c>
      <c r="AP56" s="15">
        <f>IF(AO56="",0,AVERAGE(AO$10:AO56))</f>
        <v>0</v>
      </c>
      <c r="AQ56" s="15">
        <f>IF(AO55="",0,VAR(AO$10:AO56))</f>
        <v>0</v>
      </c>
      <c r="AS56" s="2"/>
      <c r="AT56" s="15" t="str">
        <f t="shared" si="17"/>
        <v/>
      </c>
      <c r="AU56" s="15">
        <f>IF(AT56="",0,AVERAGE(AT$10:AT56))</f>
        <v>0</v>
      </c>
      <c r="AV56" s="15">
        <f>IF(AT55="",0,VAR(AT$10:AT56))</f>
        <v>0</v>
      </c>
      <c r="AX56" s="2"/>
      <c r="AY56" s="15" t="str">
        <f t="shared" si="18"/>
        <v/>
      </c>
      <c r="AZ56" s="15">
        <f>IF(AY56="",0,AVERAGE(AY$10:AY56))</f>
        <v>0</v>
      </c>
      <c r="BA56" s="15">
        <f>IF(AY55="",0,VAR(AY$10:AY56))</f>
        <v>0</v>
      </c>
    </row>
    <row r="57" spans="3:53" x14ac:dyDescent="0.25">
      <c r="C57" s="2"/>
      <c r="E57" s="2"/>
      <c r="F57" s="15"/>
      <c r="G57" s="15">
        <f>IF(F57="",0,AVERAGE($F$10:F57))</f>
        <v>0</v>
      </c>
      <c r="H57" s="15">
        <f>IF(F56="",0,VAR($F$10:F57))</f>
        <v>0</v>
      </c>
      <c r="J57" s="2"/>
      <c r="K57" s="15" t="str">
        <f t="shared" si="10"/>
        <v/>
      </c>
      <c r="L57" s="15">
        <f>IF(K57="",0,AVERAGE($K$10:K57))</f>
        <v>0</v>
      </c>
      <c r="M57" s="15">
        <f>IF(K56="",0,VAR($K$10:K57))</f>
        <v>0</v>
      </c>
      <c r="O57" s="2"/>
      <c r="P57" s="15" t="str">
        <f t="shared" si="11"/>
        <v/>
      </c>
      <c r="Q57" s="15">
        <f>IF(P57="",0,AVERAGE(P$10:P57))</f>
        <v>0</v>
      </c>
      <c r="R57" s="15">
        <f>IF(P56="",0,VAR(P$10:P57))</f>
        <v>0</v>
      </c>
      <c r="T57" s="2"/>
      <c r="U57" s="15" t="str">
        <f t="shared" si="19"/>
        <v/>
      </c>
      <c r="V57" s="15">
        <f>IF(U57="",0,AVERAGE(U$10:U57))</f>
        <v>0</v>
      </c>
      <c r="W57" s="15">
        <f>IF(U56="",0,VAR(U$10:U57))</f>
        <v>0</v>
      </c>
      <c r="Y57" s="2"/>
      <c r="Z57" s="15" t="str">
        <f t="shared" si="13"/>
        <v/>
      </c>
      <c r="AA57" s="15">
        <f>IF(Z57="",0,AVERAGE(Z$10:Z57))</f>
        <v>0</v>
      </c>
      <c r="AB57" s="15">
        <f>IF(Z56="",0,VAR(Z$10:Z57))</f>
        <v>0</v>
      </c>
      <c r="AD57" s="2"/>
      <c r="AE57" s="15" t="str">
        <f t="shared" si="20"/>
        <v/>
      </c>
      <c r="AF57" s="15">
        <f>IF(AE57="",0,AVERAGE(AE$10:AE57))</f>
        <v>0</v>
      </c>
      <c r="AG57" s="15">
        <f>IF(AE56="",0,VAR(AE$10:AE57))</f>
        <v>0</v>
      </c>
      <c r="AI57" s="2"/>
      <c r="AJ57" s="15" t="str">
        <f t="shared" si="15"/>
        <v/>
      </c>
      <c r="AK57" s="15">
        <f>IF(AJ57="",0,AVERAGE(AJ$10:AJ57))</f>
        <v>0</v>
      </c>
      <c r="AL57" s="15">
        <f>IF(AJ56="",0,VAR(AJ$10:AJ57))</f>
        <v>0</v>
      </c>
      <c r="AN57" s="2"/>
      <c r="AO57" s="15" t="str">
        <f t="shared" si="16"/>
        <v/>
      </c>
      <c r="AP57" s="15">
        <f>IF(AO57="",0,AVERAGE(AO$10:AO57))</f>
        <v>0</v>
      </c>
      <c r="AQ57" s="15">
        <f>IF(AO56="",0,VAR(AO$10:AO57))</f>
        <v>0</v>
      </c>
      <c r="AS57" s="2"/>
      <c r="AT57" s="15" t="str">
        <f t="shared" si="17"/>
        <v/>
      </c>
      <c r="AU57" s="15">
        <f>IF(AT57="",0,AVERAGE(AT$10:AT57))</f>
        <v>0</v>
      </c>
      <c r="AV57" s="15">
        <f>IF(AT56="",0,VAR(AT$10:AT57))</f>
        <v>0</v>
      </c>
      <c r="AX57" s="2"/>
      <c r="AY57" s="15" t="str">
        <f t="shared" si="18"/>
        <v/>
      </c>
      <c r="AZ57" s="15">
        <f>IF(AY57="",0,AVERAGE(AY$10:AY57))</f>
        <v>0</v>
      </c>
      <c r="BA57" s="15">
        <f>IF(AY56="",0,VAR(AY$10:AY57))</f>
        <v>0</v>
      </c>
    </row>
    <row r="58" spans="3:53" x14ac:dyDescent="0.25">
      <c r="C58" s="2"/>
      <c r="E58" s="2"/>
      <c r="F58" s="15" t="str">
        <f t="shared" ref="F58" si="35">IF(E58="","",+(E58-E57)/E57)</f>
        <v/>
      </c>
      <c r="G58" s="15">
        <f>IF(F58="",0,AVERAGE($F$10:F58))</f>
        <v>0</v>
      </c>
      <c r="H58" s="15">
        <f>IF(F57="",0,VAR($F$10:F58))</f>
        <v>0</v>
      </c>
      <c r="J58" s="2"/>
      <c r="K58" s="15" t="str">
        <f t="shared" si="10"/>
        <v/>
      </c>
      <c r="L58" s="15">
        <f>IF(K58="",0,AVERAGE($K$10:K58))</f>
        <v>0</v>
      </c>
      <c r="M58" s="15">
        <f>IF(K57="",0,VAR($K$10:K58))</f>
        <v>0</v>
      </c>
      <c r="O58" s="2"/>
      <c r="P58" s="15" t="str">
        <f t="shared" si="11"/>
        <v/>
      </c>
      <c r="Q58" s="15">
        <f>IF(P58="",0,AVERAGE(P$10:P58))</f>
        <v>0</v>
      </c>
      <c r="R58" s="15">
        <f>IF(P57="",0,VAR(P$10:P58))</f>
        <v>0</v>
      </c>
      <c r="T58" s="2"/>
      <c r="U58" s="15" t="str">
        <f t="shared" si="19"/>
        <v/>
      </c>
      <c r="V58" s="15">
        <f>IF(U58="",0,AVERAGE(U$10:U58))</f>
        <v>0</v>
      </c>
      <c r="W58" s="15">
        <f>IF(U57="",0,VAR(U$10:U58))</f>
        <v>0</v>
      </c>
      <c r="Y58" s="2"/>
      <c r="Z58" s="15" t="str">
        <f t="shared" si="13"/>
        <v/>
      </c>
      <c r="AA58" s="15">
        <f>IF(Z58="",0,AVERAGE(Z$10:Z58))</f>
        <v>0</v>
      </c>
      <c r="AB58" s="15">
        <f>IF(Z57="",0,VAR(Z$10:Z58))</f>
        <v>0</v>
      </c>
      <c r="AD58" s="2"/>
      <c r="AE58" s="15" t="str">
        <f t="shared" si="20"/>
        <v/>
      </c>
      <c r="AF58" s="15">
        <f>IF(AE58="",0,AVERAGE(AE$10:AE58))</f>
        <v>0</v>
      </c>
      <c r="AG58" s="15">
        <f>IF(AE57="",0,VAR(AE$10:AE58))</f>
        <v>0</v>
      </c>
      <c r="AI58" s="2"/>
      <c r="AJ58" s="15" t="str">
        <f t="shared" si="15"/>
        <v/>
      </c>
      <c r="AK58" s="15">
        <f>IF(AJ58="",0,AVERAGE(AJ$10:AJ58))</f>
        <v>0</v>
      </c>
      <c r="AL58" s="15">
        <f>IF(AJ57="",0,VAR(AJ$10:AJ58))</f>
        <v>0</v>
      </c>
      <c r="AN58" s="2"/>
      <c r="AO58" s="15" t="str">
        <f t="shared" si="16"/>
        <v/>
      </c>
      <c r="AP58" s="15">
        <f>IF(AO58="",0,AVERAGE(AO$10:AO58))</f>
        <v>0</v>
      </c>
      <c r="AQ58" s="15">
        <f>IF(AO57="",0,VAR(AO$10:AO58))</f>
        <v>0</v>
      </c>
      <c r="AS58" s="2"/>
      <c r="AT58" s="15" t="str">
        <f t="shared" si="17"/>
        <v/>
      </c>
      <c r="AU58" s="15">
        <f>IF(AT58="",0,AVERAGE(AT$10:AT58))</f>
        <v>0</v>
      </c>
      <c r="AV58" s="15">
        <f>IF(AT57="",0,VAR(AT$10:AT58))</f>
        <v>0</v>
      </c>
      <c r="AX58" s="2"/>
      <c r="AY58" s="15" t="str">
        <f t="shared" si="18"/>
        <v/>
      </c>
      <c r="AZ58" s="15">
        <f>IF(AY58="",0,AVERAGE(AY$10:AY58))</f>
        <v>0</v>
      </c>
      <c r="BA58" s="15">
        <f>IF(AY57="",0,VAR(AY$10:AY58))</f>
        <v>0</v>
      </c>
    </row>
    <row r="59" spans="3:53" x14ac:dyDescent="0.25">
      <c r="C59" s="2"/>
      <c r="E59" s="2"/>
      <c r="F59" s="15" t="str">
        <f t="shared" si="14"/>
        <v/>
      </c>
      <c r="G59" s="15">
        <f>IF(F59="",0,AVERAGE($F$10:F59))</f>
        <v>0</v>
      </c>
      <c r="H59" s="15">
        <f>IF(F58="",0,VAR($F$10:F59))</f>
        <v>0</v>
      </c>
      <c r="J59" s="2"/>
      <c r="K59" s="15" t="str">
        <f t="shared" si="10"/>
        <v/>
      </c>
      <c r="L59" s="15">
        <f>IF(K59="",0,AVERAGE($K$10:K59))</f>
        <v>0</v>
      </c>
      <c r="M59" s="15">
        <f>IF(K58="",0,VAR($K$10:K59))</f>
        <v>0</v>
      </c>
      <c r="O59" s="2"/>
      <c r="P59" s="15" t="str">
        <f t="shared" si="11"/>
        <v/>
      </c>
      <c r="Q59" s="15">
        <f>IF(P59="",0,AVERAGE(P$10:P59))</f>
        <v>0</v>
      </c>
      <c r="R59" s="15">
        <f>IF(P58="",0,VAR(P$10:P59))</f>
        <v>0</v>
      </c>
      <c r="T59" s="2"/>
      <c r="U59" s="15" t="str">
        <f t="shared" si="19"/>
        <v/>
      </c>
      <c r="V59" s="15">
        <f>IF(U59="",0,AVERAGE(U$10:U59))</f>
        <v>0</v>
      </c>
      <c r="W59" s="15">
        <f>IF(U58="",0,VAR(U$10:U59))</f>
        <v>0</v>
      </c>
      <c r="Y59" s="2"/>
      <c r="Z59" s="15" t="str">
        <f t="shared" si="13"/>
        <v/>
      </c>
      <c r="AA59" s="15">
        <f>IF(Z59="",0,AVERAGE(Z$10:Z59))</f>
        <v>0</v>
      </c>
      <c r="AB59" s="15">
        <f>IF(Z58="",0,VAR(Z$10:Z59))</f>
        <v>0</v>
      </c>
      <c r="AD59" s="2"/>
      <c r="AE59" s="15" t="str">
        <f t="shared" si="20"/>
        <v/>
      </c>
      <c r="AF59" s="15">
        <f>IF(AE59="",0,AVERAGE(AE$10:AE59))</f>
        <v>0</v>
      </c>
      <c r="AG59" s="15">
        <f>IF(AE58="",0,VAR(AE$10:AE59))</f>
        <v>0</v>
      </c>
      <c r="AI59" s="2"/>
      <c r="AJ59" s="15" t="str">
        <f t="shared" si="15"/>
        <v/>
      </c>
      <c r="AK59" s="15">
        <f>IF(AJ59="",0,AVERAGE(AJ$10:AJ59))</f>
        <v>0</v>
      </c>
      <c r="AL59" s="15">
        <f>IF(AJ58="",0,VAR(AJ$10:AJ59))</f>
        <v>0</v>
      </c>
      <c r="AN59" s="2"/>
      <c r="AO59" s="15" t="str">
        <f t="shared" si="16"/>
        <v/>
      </c>
      <c r="AP59" s="15">
        <f>IF(AO59="",0,AVERAGE(AO$10:AO59))</f>
        <v>0</v>
      </c>
      <c r="AQ59" s="15">
        <f>IF(AO58="",0,VAR(AO$10:AO59))</f>
        <v>0</v>
      </c>
      <c r="AS59" s="2"/>
      <c r="AT59" s="15" t="str">
        <f t="shared" si="17"/>
        <v/>
      </c>
      <c r="AU59" s="15">
        <f>IF(AT59="",0,AVERAGE(AT$10:AT59))</f>
        <v>0</v>
      </c>
      <c r="AV59" s="15">
        <f>IF(AT58="",0,VAR(AT$10:AT59))</f>
        <v>0</v>
      </c>
      <c r="AX59" s="2"/>
      <c r="AY59" s="15" t="str">
        <f t="shared" si="18"/>
        <v/>
      </c>
      <c r="AZ59" s="15">
        <f>IF(AY59="",0,AVERAGE(AY$10:AY59))</f>
        <v>0</v>
      </c>
      <c r="BA59" s="15">
        <f>IF(AY58="",0,VAR(AY$10:AY59))</f>
        <v>0</v>
      </c>
    </row>
    <row r="60" spans="3:53" x14ac:dyDescent="0.25">
      <c r="C60" s="2"/>
      <c r="E60" s="2"/>
      <c r="F60" s="15"/>
      <c r="G60" s="15">
        <f>IF(F60="",0,AVERAGE($F$10:F60))</f>
        <v>0</v>
      </c>
      <c r="H60" s="15">
        <f>IF(F59="",0,VAR($F$10:F60))</f>
        <v>0</v>
      </c>
      <c r="J60" s="2"/>
      <c r="K60" s="15" t="str">
        <f t="shared" si="10"/>
        <v/>
      </c>
      <c r="L60" s="15">
        <f>IF(K60="",0,AVERAGE($K$10:K60))</f>
        <v>0</v>
      </c>
      <c r="M60" s="15">
        <f>IF(K59="",0,VAR($K$10:K60))</f>
        <v>0</v>
      </c>
      <c r="O60" s="2"/>
      <c r="P60" s="15" t="str">
        <f t="shared" si="11"/>
        <v/>
      </c>
      <c r="Q60" s="15">
        <f>IF(P60="",0,AVERAGE(P$10:P60))</f>
        <v>0</v>
      </c>
      <c r="R60" s="15">
        <f>IF(P59="",0,VAR(P$10:P60))</f>
        <v>0</v>
      </c>
      <c r="T60" s="2"/>
      <c r="U60" s="15" t="str">
        <f t="shared" si="19"/>
        <v/>
      </c>
      <c r="V60" s="15">
        <f>IF(U60="",0,AVERAGE(U$10:U60))</f>
        <v>0</v>
      </c>
      <c r="W60" s="15">
        <f>IF(U59="",0,VAR(U$10:U60))</f>
        <v>0</v>
      </c>
      <c r="Y60" s="2"/>
      <c r="Z60" s="15" t="str">
        <f t="shared" si="13"/>
        <v/>
      </c>
      <c r="AA60" s="15">
        <f>IF(Z60="",0,AVERAGE(Z$10:Z60))</f>
        <v>0</v>
      </c>
      <c r="AB60" s="15">
        <f>IF(Z59="",0,VAR(Z$10:Z60))</f>
        <v>0</v>
      </c>
      <c r="AD60" s="2"/>
      <c r="AE60" s="15" t="str">
        <f t="shared" si="20"/>
        <v/>
      </c>
      <c r="AF60" s="15">
        <f>IF(AE60="",0,AVERAGE(AE$10:AE60))</f>
        <v>0</v>
      </c>
      <c r="AG60" s="15">
        <f>IF(AE59="",0,VAR(AE$10:AE60))</f>
        <v>0</v>
      </c>
      <c r="AI60" s="2"/>
      <c r="AJ60" s="15" t="str">
        <f t="shared" si="15"/>
        <v/>
      </c>
      <c r="AK60" s="15">
        <f>IF(AJ60="",0,AVERAGE(AJ$10:AJ60))</f>
        <v>0</v>
      </c>
      <c r="AL60" s="15">
        <f>IF(AJ59="",0,VAR(AJ$10:AJ60))</f>
        <v>0</v>
      </c>
      <c r="AN60" s="2"/>
      <c r="AO60" s="15" t="str">
        <f t="shared" si="16"/>
        <v/>
      </c>
      <c r="AP60" s="15">
        <f>IF(AO60="",0,AVERAGE(AO$10:AO60))</f>
        <v>0</v>
      </c>
      <c r="AQ60" s="15">
        <f>IF(AO59="",0,VAR(AO$10:AO60))</f>
        <v>0</v>
      </c>
      <c r="AS60" s="2"/>
      <c r="AT60" s="15" t="str">
        <f t="shared" si="17"/>
        <v/>
      </c>
      <c r="AU60" s="15">
        <f>IF(AT60="",0,AVERAGE(AT$10:AT60))</f>
        <v>0</v>
      </c>
      <c r="AV60" s="15">
        <f>IF(AT59="",0,VAR(AT$10:AT60))</f>
        <v>0</v>
      </c>
      <c r="AX60" s="2"/>
      <c r="AY60" s="15" t="str">
        <f t="shared" si="18"/>
        <v/>
      </c>
      <c r="AZ60" s="15">
        <f>IF(AY60="",0,AVERAGE(AY$10:AY60))</f>
        <v>0</v>
      </c>
      <c r="BA60" s="15">
        <f>IF(AY59="",0,VAR(AY$10:AY60))</f>
        <v>0</v>
      </c>
    </row>
    <row r="61" spans="3:53" x14ac:dyDescent="0.25">
      <c r="C61" s="2"/>
      <c r="E61" s="2"/>
      <c r="F61" s="15" t="str">
        <f t="shared" ref="F61" si="36">IF(E61="","",+(E61-E60)/E60)</f>
        <v/>
      </c>
      <c r="G61" s="15">
        <f>IF(F61="",0,AVERAGE($F$10:F61))</f>
        <v>0</v>
      </c>
      <c r="H61" s="15">
        <f>IF(F60="",0,VAR($F$10:F61))</f>
        <v>0</v>
      </c>
      <c r="J61" s="2"/>
      <c r="K61" s="15" t="str">
        <f t="shared" si="10"/>
        <v/>
      </c>
      <c r="L61" s="15">
        <f>IF(K61="",0,AVERAGE($K$10:K61))</f>
        <v>0</v>
      </c>
      <c r="M61" s="15">
        <f>IF(K60="",0,VAR($K$10:K61))</f>
        <v>0</v>
      </c>
      <c r="O61" s="2"/>
      <c r="P61" s="15" t="str">
        <f t="shared" si="11"/>
        <v/>
      </c>
      <c r="Q61" s="15">
        <f>IF(P61="",0,AVERAGE(P$10:P61))</f>
        <v>0</v>
      </c>
      <c r="R61" s="15">
        <f>IF(P60="",0,VAR(P$10:P61))</f>
        <v>0</v>
      </c>
      <c r="T61" s="2"/>
      <c r="U61" s="15" t="str">
        <f t="shared" si="19"/>
        <v/>
      </c>
      <c r="V61" s="15">
        <f>IF(U61="",0,AVERAGE(U$10:U61))</f>
        <v>0</v>
      </c>
      <c r="W61" s="15">
        <f>IF(U60="",0,VAR(U$10:U61))</f>
        <v>0</v>
      </c>
      <c r="Y61" s="2"/>
      <c r="Z61" s="15" t="str">
        <f t="shared" si="13"/>
        <v/>
      </c>
      <c r="AA61" s="15">
        <f>IF(Z61="",0,AVERAGE(Z$10:Z61))</f>
        <v>0</v>
      </c>
      <c r="AB61" s="15">
        <f>IF(Z60="",0,VAR(Z$10:Z61))</f>
        <v>0</v>
      </c>
      <c r="AD61" s="2"/>
      <c r="AE61" s="15" t="str">
        <f t="shared" si="20"/>
        <v/>
      </c>
      <c r="AF61" s="15">
        <f>IF(AE61="",0,AVERAGE(AE$10:AE61))</f>
        <v>0</v>
      </c>
      <c r="AG61" s="15">
        <f>IF(AE60="",0,VAR(AE$10:AE61))</f>
        <v>0</v>
      </c>
      <c r="AI61" s="2"/>
      <c r="AJ61" s="15" t="str">
        <f t="shared" si="15"/>
        <v/>
      </c>
      <c r="AK61" s="15">
        <f>IF(AJ61="",0,AVERAGE(AJ$10:AJ61))</f>
        <v>0</v>
      </c>
      <c r="AL61" s="15">
        <f>IF(AJ60="",0,VAR(AJ$10:AJ61))</f>
        <v>0</v>
      </c>
      <c r="AN61" s="2"/>
      <c r="AO61" s="15" t="str">
        <f t="shared" si="16"/>
        <v/>
      </c>
      <c r="AP61" s="15">
        <f>IF(AO61="",0,AVERAGE(AO$10:AO61))</f>
        <v>0</v>
      </c>
      <c r="AQ61" s="15">
        <f>IF(AO60="",0,VAR(AO$10:AO61))</f>
        <v>0</v>
      </c>
      <c r="AS61" s="2"/>
      <c r="AT61" s="15" t="str">
        <f t="shared" si="17"/>
        <v/>
      </c>
      <c r="AU61" s="15">
        <f>IF(AT61="",0,AVERAGE(AT$10:AT61))</f>
        <v>0</v>
      </c>
      <c r="AV61" s="15">
        <f>IF(AT60="",0,VAR(AT$10:AT61))</f>
        <v>0</v>
      </c>
      <c r="AX61" s="2"/>
      <c r="AY61" s="15" t="str">
        <f t="shared" si="18"/>
        <v/>
      </c>
      <c r="AZ61" s="15">
        <f>IF(AY61="",0,AVERAGE(AY$10:AY61))</f>
        <v>0</v>
      </c>
      <c r="BA61" s="15">
        <f>IF(AY60="",0,VAR(AY$10:AY61))</f>
        <v>0</v>
      </c>
    </row>
    <row r="62" spans="3:53" x14ac:dyDescent="0.25">
      <c r="C62" s="2"/>
      <c r="E62" s="2"/>
      <c r="F62" s="15" t="str">
        <f t="shared" si="14"/>
        <v/>
      </c>
      <c r="G62" s="15">
        <f>IF(F62="",0,AVERAGE($F$10:F62))</f>
        <v>0</v>
      </c>
      <c r="H62" s="15">
        <f>IF(F61="",0,VAR($F$10:F62))</f>
        <v>0</v>
      </c>
      <c r="J62" s="2"/>
      <c r="K62" s="15" t="str">
        <f t="shared" si="10"/>
        <v/>
      </c>
      <c r="L62" s="15">
        <f>IF(K62="",0,AVERAGE($K$10:K62))</f>
        <v>0</v>
      </c>
      <c r="M62" s="15">
        <f>IF(K61="",0,VAR($K$10:K62))</f>
        <v>0</v>
      </c>
      <c r="O62" s="2"/>
      <c r="P62" s="15" t="str">
        <f t="shared" si="11"/>
        <v/>
      </c>
      <c r="Q62" s="15">
        <f>IF(P62="",0,AVERAGE(P$10:P62))</f>
        <v>0</v>
      </c>
      <c r="R62" s="15">
        <f>IF(P61="",0,VAR(P$10:P62))</f>
        <v>0</v>
      </c>
      <c r="T62" s="2"/>
      <c r="U62" s="15" t="str">
        <f t="shared" si="19"/>
        <v/>
      </c>
      <c r="V62" s="15">
        <f>IF(U62="",0,AVERAGE(U$10:U62))</f>
        <v>0</v>
      </c>
      <c r="W62" s="15">
        <f>IF(U61="",0,VAR(U$10:U62))</f>
        <v>0</v>
      </c>
      <c r="Y62" s="2"/>
      <c r="Z62" s="15" t="str">
        <f t="shared" si="13"/>
        <v/>
      </c>
      <c r="AA62" s="15">
        <f>IF(Z62="",0,AVERAGE(Z$10:Z62))</f>
        <v>0</v>
      </c>
      <c r="AB62" s="15">
        <f>IF(Z61="",0,VAR(Z$10:Z62))</f>
        <v>0</v>
      </c>
      <c r="AD62" s="2"/>
      <c r="AE62" s="15" t="str">
        <f t="shared" si="20"/>
        <v/>
      </c>
      <c r="AF62" s="15">
        <f>IF(AE62="",0,AVERAGE(AE$10:AE62))</f>
        <v>0</v>
      </c>
      <c r="AG62" s="15">
        <f>IF(AE61="",0,VAR(AE$10:AE62))</f>
        <v>0</v>
      </c>
      <c r="AI62" s="2"/>
      <c r="AJ62" s="15" t="str">
        <f t="shared" si="15"/>
        <v/>
      </c>
      <c r="AK62" s="15">
        <f>IF(AJ62="",0,AVERAGE(AJ$10:AJ62))</f>
        <v>0</v>
      </c>
      <c r="AL62" s="15">
        <f>IF(AJ61="",0,VAR(AJ$10:AJ62))</f>
        <v>0</v>
      </c>
      <c r="AN62" s="2"/>
      <c r="AO62" s="15" t="str">
        <f t="shared" si="16"/>
        <v/>
      </c>
      <c r="AP62" s="15">
        <f>IF(AO62="",0,AVERAGE(AO$10:AO62))</f>
        <v>0</v>
      </c>
      <c r="AQ62" s="15">
        <f>IF(AO61="",0,VAR(AO$10:AO62))</f>
        <v>0</v>
      </c>
      <c r="AS62" s="2"/>
      <c r="AT62" s="15" t="str">
        <f t="shared" si="17"/>
        <v/>
      </c>
      <c r="AU62" s="15">
        <f>IF(AT62="",0,AVERAGE(AT$10:AT62))</f>
        <v>0</v>
      </c>
      <c r="AV62" s="15">
        <f>IF(AT61="",0,VAR(AT$10:AT62))</f>
        <v>0</v>
      </c>
      <c r="AX62" s="2"/>
      <c r="AY62" s="15" t="str">
        <f t="shared" si="18"/>
        <v/>
      </c>
      <c r="AZ62" s="15">
        <f>IF(AY62="",0,AVERAGE(AY$10:AY62))</f>
        <v>0</v>
      </c>
      <c r="BA62" s="15">
        <f>IF(AY61="",0,VAR(AY$10:AY62))</f>
        <v>0</v>
      </c>
    </row>
    <row r="63" spans="3:53" x14ac:dyDescent="0.25">
      <c r="C63" s="2"/>
      <c r="E63" s="2"/>
      <c r="F63" s="15"/>
      <c r="G63" s="15">
        <f>IF(F63="",0,AVERAGE($F$10:F63))</f>
        <v>0</v>
      </c>
      <c r="H63" s="15">
        <f>IF(F62="",0,VAR($F$10:F63))</f>
        <v>0</v>
      </c>
      <c r="J63" s="2"/>
      <c r="K63" s="15" t="str">
        <f t="shared" si="10"/>
        <v/>
      </c>
      <c r="L63" s="15">
        <f>IF(K63="",0,AVERAGE($K$10:K63))</f>
        <v>0</v>
      </c>
      <c r="M63" s="15">
        <f>IF(K62="",0,VAR($K$10:K63))</f>
        <v>0</v>
      </c>
      <c r="O63" s="2"/>
      <c r="P63" s="15" t="str">
        <f t="shared" si="11"/>
        <v/>
      </c>
      <c r="Q63" s="15">
        <f>IF(P63="",0,AVERAGE(P$10:P63))</f>
        <v>0</v>
      </c>
      <c r="R63" s="15">
        <f>IF(P62="",0,VAR(P$10:P63))</f>
        <v>0</v>
      </c>
      <c r="T63" s="2"/>
      <c r="U63" s="15" t="str">
        <f t="shared" si="19"/>
        <v/>
      </c>
      <c r="V63" s="15">
        <f>IF(U63="",0,AVERAGE(U$10:U63))</f>
        <v>0</v>
      </c>
      <c r="W63" s="15">
        <f>IF(U62="",0,VAR(U$10:U63))</f>
        <v>0</v>
      </c>
      <c r="Y63" s="2"/>
      <c r="Z63" s="15" t="str">
        <f t="shared" si="13"/>
        <v/>
      </c>
      <c r="AA63" s="15">
        <f>IF(Z63="",0,AVERAGE(Z$10:Z63))</f>
        <v>0</v>
      </c>
      <c r="AB63" s="15">
        <f>IF(Z62="",0,VAR(Z$10:Z63))</f>
        <v>0</v>
      </c>
      <c r="AD63" s="2"/>
      <c r="AE63" s="15" t="str">
        <f t="shared" si="20"/>
        <v/>
      </c>
      <c r="AF63" s="15">
        <f>IF(AE63="",0,AVERAGE(AE$10:AE63))</f>
        <v>0</v>
      </c>
      <c r="AG63" s="15">
        <f>IF(AE62="",0,VAR(AE$10:AE63))</f>
        <v>0</v>
      </c>
      <c r="AI63" s="2"/>
      <c r="AJ63" s="15" t="str">
        <f t="shared" si="15"/>
        <v/>
      </c>
      <c r="AK63" s="15">
        <f>IF(AJ63="",0,AVERAGE(AJ$10:AJ63))</f>
        <v>0</v>
      </c>
      <c r="AL63" s="15">
        <f>IF(AJ62="",0,VAR(AJ$10:AJ63))</f>
        <v>0</v>
      </c>
      <c r="AN63" s="2"/>
      <c r="AO63" s="15" t="str">
        <f t="shared" si="16"/>
        <v/>
      </c>
      <c r="AP63" s="15">
        <f>IF(AO63="",0,AVERAGE(AO$10:AO63))</f>
        <v>0</v>
      </c>
      <c r="AQ63" s="15">
        <f>IF(AO62="",0,VAR(AO$10:AO63))</f>
        <v>0</v>
      </c>
      <c r="AS63" s="2"/>
      <c r="AT63" s="15" t="str">
        <f t="shared" si="17"/>
        <v/>
      </c>
      <c r="AU63" s="15">
        <f>IF(AT63="",0,AVERAGE(AT$10:AT63))</f>
        <v>0</v>
      </c>
      <c r="AV63" s="15">
        <f>IF(AT62="",0,VAR(AT$10:AT63))</f>
        <v>0</v>
      </c>
      <c r="AX63" s="2"/>
      <c r="AY63" s="15" t="str">
        <f t="shared" si="18"/>
        <v/>
      </c>
      <c r="AZ63" s="15">
        <f>IF(AY63="",0,AVERAGE(AY$10:AY63))</f>
        <v>0</v>
      </c>
      <c r="BA63" s="15">
        <f>IF(AY62="",0,VAR(AY$10:AY63))</f>
        <v>0</v>
      </c>
    </row>
    <row r="64" spans="3:53" x14ac:dyDescent="0.25">
      <c r="C64" s="2"/>
      <c r="E64" s="2"/>
      <c r="F64" s="15" t="str">
        <f t="shared" ref="F64" si="37">IF(E64="","",+(E64-E63)/E63)</f>
        <v/>
      </c>
      <c r="G64" s="15">
        <f>IF(F64="",0,AVERAGE($F$10:F64))</f>
        <v>0</v>
      </c>
      <c r="H64" s="15">
        <f>IF(F63="",0,VAR($F$10:F64))</f>
        <v>0</v>
      </c>
      <c r="J64" s="2"/>
      <c r="K64" s="15" t="str">
        <f t="shared" si="10"/>
        <v/>
      </c>
      <c r="L64" s="15">
        <f>IF(K64="",0,AVERAGE($K$10:K64))</f>
        <v>0</v>
      </c>
      <c r="M64" s="15">
        <f>IF(K63="",0,VAR($K$10:K64))</f>
        <v>0</v>
      </c>
      <c r="O64" s="2"/>
      <c r="P64" s="15" t="str">
        <f t="shared" si="11"/>
        <v/>
      </c>
      <c r="Q64" s="15">
        <f>IF(P64="",0,AVERAGE(P$10:P64))</f>
        <v>0</v>
      </c>
      <c r="R64" s="15">
        <f>IF(P63="",0,VAR(P$10:P64))</f>
        <v>0</v>
      </c>
      <c r="T64" s="2"/>
      <c r="U64" s="15" t="str">
        <f t="shared" si="19"/>
        <v/>
      </c>
      <c r="V64" s="15">
        <f>IF(U64="",0,AVERAGE(U$10:U64))</f>
        <v>0</v>
      </c>
      <c r="W64" s="15">
        <f>IF(U63="",0,VAR(U$10:U64))</f>
        <v>0</v>
      </c>
      <c r="Y64" s="2"/>
      <c r="Z64" s="15" t="str">
        <f t="shared" si="13"/>
        <v/>
      </c>
      <c r="AA64" s="15">
        <f>IF(Z64="",0,AVERAGE(Z$10:Z64))</f>
        <v>0</v>
      </c>
      <c r="AB64" s="15">
        <f>IF(Z63="",0,VAR(Z$10:Z64))</f>
        <v>0</v>
      </c>
      <c r="AD64" s="2"/>
      <c r="AE64" s="15" t="str">
        <f t="shared" si="20"/>
        <v/>
      </c>
      <c r="AF64" s="15">
        <f>IF(AE64="",0,AVERAGE(AE$10:AE64))</f>
        <v>0</v>
      </c>
      <c r="AG64" s="15">
        <f>IF(AE63="",0,VAR(AE$10:AE64))</f>
        <v>0</v>
      </c>
      <c r="AI64" s="2"/>
      <c r="AJ64" s="15" t="str">
        <f t="shared" si="15"/>
        <v/>
      </c>
      <c r="AK64" s="15">
        <f>IF(AJ64="",0,AVERAGE(AJ$10:AJ64))</f>
        <v>0</v>
      </c>
      <c r="AL64" s="15">
        <f>IF(AJ63="",0,VAR(AJ$10:AJ64))</f>
        <v>0</v>
      </c>
      <c r="AN64" s="2"/>
      <c r="AO64" s="15" t="str">
        <f t="shared" si="16"/>
        <v/>
      </c>
      <c r="AP64" s="15">
        <f>IF(AO64="",0,AVERAGE(AO$10:AO64))</f>
        <v>0</v>
      </c>
      <c r="AQ64" s="15">
        <f>IF(AO63="",0,VAR(AO$10:AO64))</f>
        <v>0</v>
      </c>
      <c r="AS64" s="2"/>
      <c r="AT64" s="15" t="str">
        <f t="shared" si="17"/>
        <v/>
      </c>
      <c r="AU64" s="15">
        <f>IF(AT64="",0,AVERAGE(AT$10:AT64))</f>
        <v>0</v>
      </c>
      <c r="AV64" s="15">
        <f>IF(AT63="",0,VAR(AT$10:AT64))</f>
        <v>0</v>
      </c>
      <c r="AX64" s="2"/>
      <c r="AY64" s="15" t="str">
        <f t="shared" si="18"/>
        <v/>
      </c>
      <c r="AZ64" s="15">
        <f>IF(AY64="",0,AVERAGE(AY$10:AY64))</f>
        <v>0</v>
      </c>
      <c r="BA64" s="15">
        <f>IF(AY63="",0,VAR(AY$10:AY64))</f>
        <v>0</v>
      </c>
    </row>
    <row r="65" spans="3:53" x14ac:dyDescent="0.25">
      <c r="C65" s="2"/>
      <c r="E65" s="2"/>
      <c r="F65" s="15" t="str">
        <f t="shared" si="14"/>
        <v/>
      </c>
      <c r="G65" s="15">
        <f>IF(F65="",0,AVERAGE($F$10:F65))</f>
        <v>0</v>
      </c>
      <c r="H65" s="15">
        <f>IF(F64="",0,VAR($F$10:F65))</f>
        <v>0</v>
      </c>
      <c r="J65" s="2"/>
      <c r="K65" s="15" t="str">
        <f t="shared" si="10"/>
        <v/>
      </c>
      <c r="L65" s="15">
        <f>IF(K65="",0,AVERAGE($K$10:K65))</f>
        <v>0</v>
      </c>
      <c r="M65" s="15">
        <f>IF(K64="",0,VAR($K$10:K65))</f>
        <v>0</v>
      </c>
      <c r="O65" s="2"/>
      <c r="P65" s="15" t="str">
        <f t="shared" si="11"/>
        <v/>
      </c>
      <c r="Q65" s="15">
        <f>IF(P65="",0,AVERAGE(P$10:P65))</f>
        <v>0</v>
      </c>
      <c r="R65" s="15">
        <f>IF(P64="",0,VAR(P$10:P65))</f>
        <v>0</v>
      </c>
      <c r="T65" s="2"/>
      <c r="U65" s="15" t="str">
        <f t="shared" si="19"/>
        <v/>
      </c>
      <c r="V65" s="15">
        <f>IF(U65="",0,AVERAGE(U$10:U65))</f>
        <v>0</v>
      </c>
      <c r="W65" s="15">
        <f>IF(U64="",0,VAR(U$10:U65))</f>
        <v>0</v>
      </c>
      <c r="Y65" s="2"/>
      <c r="Z65" s="15" t="str">
        <f t="shared" si="13"/>
        <v/>
      </c>
      <c r="AA65" s="15">
        <f>IF(Z65="",0,AVERAGE(Z$10:Z65))</f>
        <v>0</v>
      </c>
      <c r="AB65" s="15">
        <f>IF(Z64="",0,VAR(Z$10:Z65))</f>
        <v>0</v>
      </c>
      <c r="AD65" s="2"/>
      <c r="AE65" s="15" t="str">
        <f t="shared" si="20"/>
        <v/>
      </c>
      <c r="AF65" s="15">
        <f>IF(AE65="",0,AVERAGE(AE$10:AE65))</f>
        <v>0</v>
      </c>
      <c r="AG65" s="15">
        <f>IF(AE64="",0,VAR(AE$10:AE65))</f>
        <v>0</v>
      </c>
      <c r="AI65" s="2"/>
      <c r="AJ65" s="15" t="str">
        <f t="shared" si="15"/>
        <v/>
      </c>
      <c r="AK65" s="15">
        <f>IF(AJ65="",0,AVERAGE(AJ$10:AJ65))</f>
        <v>0</v>
      </c>
      <c r="AL65" s="15">
        <f>IF(AJ64="",0,VAR(AJ$10:AJ65))</f>
        <v>0</v>
      </c>
      <c r="AN65" s="2"/>
      <c r="AO65" s="15" t="str">
        <f t="shared" si="16"/>
        <v/>
      </c>
      <c r="AP65" s="15">
        <f>IF(AO65="",0,AVERAGE(AO$10:AO65))</f>
        <v>0</v>
      </c>
      <c r="AQ65" s="15">
        <f>IF(AO64="",0,VAR(AO$10:AO65))</f>
        <v>0</v>
      </c>
      <c r="AS65" s="2"/>
      <c r="AT65" s="15" t="str">
        <f t="shared" si="17"/>
        <v/>
      </c>
      <c r="AU65" s="15">
        <f>IF(AT65="",0,AVERAGE(AT$10:AT65))</f>
        <v>0</v>
      </c>
      <c r="AV65" s="15">
        <f>IF(AT64="",0,VAR(AT$10:AT65))</f>
        <v>0</v>
      </c>
      <c r="AX65" s="2"/>
      <c r="AY65" s="15" t="str">
        <f t="shared" si="18"/>
        <v/>
      </c>
      <c r="AZ65" s="15">
        <f>IF(AY65="",0,AVERAGE(AY$10:AY65))</f>
        <v>0</v>
      </c>
      <c r="BA65" s="15">
        <f>IF(AY64="",0,VAR(AY$10:AY65))</f>
        <v>0</v>
      </c>
    </row>
    <row r="66" spans="3:53" x14ac:dyDescent="0.25">
      <c r="C66" s="2"/>
      <c r="E66" s="2"/>
      <c r="F66" s="15"/>
      <c r="G66" s="15">
        <f>IF(F66="",0,AVERAGE($F$10:F66))</f>
        <v>0</v>
      </c>
      <c r="H66" s="15">
        <f>IF(F65="",0,VAR($F$10:F66))</f>
        <v>0</v>
      </c>
      <c r="J66" s="2"/>
      <c r="K66" s="15" t="str">
        <f t="shared" si="10"/>
        <v/>
      </c>
      <c r="L66" s="15">
        <f>IF(K66="",0,AVERAGE($K$10:K66))</f>
        <v>0</v>
      </c>
      <c r="M66" s="15">
        <f>IF(K65="",0,VAR($K$10:K66))</f>
        <v>0</v>
      </c>
      <c r="O66" s="2"/>
      <c r="P66" s="15" t="str">
        <f t="shared" si="11"/>
        <v/>
      </c>
      <c r="Q66" s="15">
        <f>IF(P66="",0,AVERAGE(P$10:P66))</f>
        <v>0</v>
      </c>
      <c r="R66" s="15">
        <f>IF(P65="",0,VAR(P$10:P66))</f>
        <v>0</v>
      </c>
      <c r="T66" s="2"/>
      <c r="U66" s="15" t="str">
        <f t="shared" si="19"/>
        <v/>
      </c>
      <c r="V66" s="15">
        <f>IF(U66="",0,AVERAGE(U$10:U66))</f>
        <v>0</v>
      </c>
      <c r="W66" s="15">
        <f>IF(U65="",0,VAR(U$10:U66))</f>
        <v>0</v>
      </c>
      <c r="Y66" s="2"/>
      <c r="Z66" s="15" t="str">
        <f t="shared" si="13"/>
        <v/>
      </c>
      <c r="AA66" s="15">
        <f>IF(Z66="",0,AVERAGE(Z$10:Z66))</f>
        <v>0</v>
      </c>
      <c r="AB66" s="15">
        <f>IF(Z65="",0,VAR(Z$10:Z66))</f>
        <v>0</v>
      </c>
      <c r="AD66" s="2"/>
      <c r="AE66" s="15" t="str">
        <f t="shared" si="20"/>
        <v/>
      </c>
      <c r="AF66" s="15">
        <f>IF(AE66="",0,AVERAGE(AE$10:AE66))</f>
        <v>0</v>
      </c>
      <c r="AG66" s="15">
        <f>IF(AE65="",0,VAR(AE$10:AE66))</f>
        <v>0</v>
      </c>
      <c r="AI66" s="2"/>
      <c r="AJ66" s="15" t="str">
        <f t="shared" si="15"/>
        <v/>
      </c>
      <c r="AK66" s="15">
        <f>IF(AJ66="",0,AVERAGE(AJ$10:AJ66))</f>
        <v>0</v>
      </c>
      <c r="AL66" s="15">
        <f>IF(AJ65="",0,VAR(AJ$10:AJ66))</f>
        <v>0</v>
      </c>
      <c r="AN66" s="2"/>
      <c r="AO66" s="15" t="str">
        <f t="shared" si="16"/>
        <v/>
      </c>
      <c r="AP66" s="15">
        <f>IF(AO66="",0,AVERAGE(AO$10:AO66))</f>
        <v>0</v>
      </c>
      <c r="AQ66" s="15">
        <f>IF(AO65="",0,VAR(AO$10:AO66))</f>
        <v>0</v>
      </c>
      <c r="AS66" s="2"/>
      <c r="AT66" s="15" t="str">
        <f t="shared" si="17"/>
        <v/>
      </c>
      <c r="AU66" s="15">
        <f>IF(AT66="",0,AVERAGE(AT$10:AT66))</f>
        <v>0</v>
      </c>
      <c r="AV66" s="15">
        <f>IF(AT65="",0,VAR(AT$10:AT66))</f>
        <v>0</v>
      </c>
      <c r="AX66" s="2"/>
      <c r="AY66" s="15" t="str">
        <f t="shared" si="18"/>
        <v/>
      </c>
      <c r="AZ66" s="15">
        <f>IF(AY66="",0,AVERAGE(AY$10:AY66))</f>
        <v>0</v>
      </c>
      <c r="BA66" s="15">
        <f>IF(AY65="",0,VAR(AY$10:AY66))</f>
        <v>0</v>
      </c>
    </row>
    <row r="67" spans="3:53" x14ac:dyDescent="0.25">
      <c r="C67" s="2"/>
      <c r="E67" s="2"/>
      <c r="F67" s="15" t="str">
        <f t="shared" ref="F67" si="38">IF(E67="","",+(E67-E66)/E66)</f>
        <v/>
      </c>
      <c r="G67" s="15">
        <f>IF(F67="",0,AVERAGE($F$10:F67))</f>
        <v>0</v>
      </c>
      <c r="H67" s="15">
        <f>IF(F66="",0,VAR($F$10:F67))</f>
        <v>0</v>
      </c>
      <c r="J67" s="2"/>
      <c r="K67" s="15" t="str">
        <f t="shared" si="10"/>
        <v/>
      </c>
      <c r="L67" s="15">
        <f>IF(K67="",0,AVERAGE($K$10:K67))</f>
        <v>0</v>
      </c>
      <c r="M67" s="15">
        <f>IF(K66="",0,VAR($K$10:K67))</f>
        <v>0</v>
      </c>
      <c r="O67" s="2"/>
      <c r="P67" s="15" t="str">
        <f t="shared" si="11"/>
        <v/>
      </c>
      <c r="Q67" s="15">
        <f>IF(P67="",0,AVERAGE(P$10:P67))</f>
        <v>0</v>
      </c>
      <c r="R67" s="15">
        <f>IF(P66="",0,VAR(P$10:P67))</f>
        <v>0</v>
      </c>
      <c r="T67" s="2"/>
      <c r="U67" s="15" t="str">
        <f t="shared" si="19"/>
        <v/>
      </c>
      <c r="V67" s="15">
        <f>IF(U67="",0,AVERAGE(U$10:U67))</f>
        <v>0</v>
      </c>
      <c r="W67" s="15">
        <f>IF(U66="",0,VAR(U$10:U67))</f>
        <v>0</v>
      </c>
      <c r="Y67" s="2"/>
      <c r="Z67" s="15" t="str">
        <f t="shared" si="13"/>
        <v/>
      </c>
      <c r="AA67" s="15">
        <f>IF(Z67="",0,AVERAGE(Z$10:Z67))</f>
        <v>0</v>
      </c>
      <c r="AB67" s="15">
        <f>IF(Z66="",0,VAR(Z$10:Z67))</f>
        <v>0</v>
      </c>
      <c r="AD67" s="2"/>
      <c r="AE67" s="15" t="str">
        <f t="shared" si="20"/>
        <v/>
      </c>
      <c r="AF67" s="15">
        <f>IF(AE67="",0,AVERAGE(AE$10:AE67))</f>
        <v>0</v>
      </c>
      <c r="AG67" s="15">
        <f>IF(AE66="",0,VAR(AE$10:AE67))</f>
        <v>0</v>
      </c>
      <c r="AI67" s="2"/>
      <c r="AJ67" s="15" t="str">
        <f t="shared" si="15"/>
        <v/>
      </c>
      <c r="AK67" s="15">
        <f>IF(AJ67="",0,AVERAGE(AJ$10:AJ67))</f>
        <v>0</v>
      </c>
      <c r="AL67" s="15">
        <f>IF(AJ66="",0,VAR(AJ$10:AJ67))</f>
        <v>0</v>
      </c>
      <c r="AN67" s="2"/>
      <c r="AO67" s="15" t="str">
        <f t="shared" si="16"/>
        <v/>
      </c>
      <c r="AP67" s="15">
        <f>IF(AO67="",0,AVERAGE(AO$10:AO67))</f>
        <v>0</v>
      </c>
      <c r="AQ67" s="15">
        <f>IF(AO66="",0,VAR(AO$10:AO67))</f>
        <v>0</v>
      </c>
      <c r="AS67" s="2"/>
      <c r="AT67" s="15" t="str">
        <f t="shared" si="17"/>
        <v/>
      </c>
      <c r="AU67" s="15">
        <f>IF(AT67="",0,AVERAGE(AT$10:AT67))</f>
        <v>0</v>
      </c>
      <c r="AV67" s="15">
        <f>IF(AT66="",0,VAR(AT$10:AT67))</f>
        <v>0</v>
      </c>
      <c r="AX67" s="2"/>
      <c r="AY67" s="15" t="str">
        <f t="shared" si="18"/>
        <v/>
      </c>
      <c r="AZ67" s="15">
        <f>IF(AY67="",0,AVERAGE(AY$10:AY67))</f>
        <v>0</v>
      </c>
      <c r="BA67" s="15">
        <f>IF(AY66="",0,VAR(AY$10:AY67))</f>
        <v>0</v>
      </c>
    </row>
    <row r="68" spans="3:53" x14ac:dyDescent="0.25">
      <c r="C68" s="2"/>
      <c r="E68" s="2"/>
      <c r="F68" s="15" t="str">
        <f t="shared" si="14"/>
        <v/>
      </c>
      <c r="G68" s="15">
        <f>IF(F68="",0,AVERAGE($F$10:F68))</f>
        <v>0</v>
      </c>
      <c r="H68" s="15">
        <f>IF(F67="",0,VAR($F$10:F68))</f>
        <v>0</v>
      </c>
      <c r="J68" s="2"/>
      <c r="K68" s="15" t="str">
        <f t="shared" si="10"/>
        <v/>
      </c>
      <c r="L68" s="15">
        <f>IF(K68="",0,AVERAGE($K$10:K68))</f>
        <v>0</v>
      </c>
      <c r="M68" s="15">
        <f>IF(K67="",0,VAR($K$10:K68))</f>
        <v>0</v>
      </c>
      <c r="O68" s="2"/>
      <c r="P68" s="15" t="str">
        <f t="shared" si="11"/>
        <v/>
      </c>
      <c r="Q68" s="15">
        <f>IF(P68="",0,AVERAGE(P$10:P68))</f>
        <v>0</v>
      </c>
      <c r="R68" s="15">
        <f>IF(P67="",0,VAR(P$10:P68))</f>
        <v>0</v>
      </c>
      <c r="T68" s="2"/>
      <c r="U68" s="15" t="str">
        <f t="shared" si="19"/>
        <v/>
      </c>
      <c r="V68" s="15">
        <f>IF(U68="",0,AVERAGE(U$10:U68))</f>
        <v>0</v>
      </c>
      <c r="W68" s="15">
        <f>IF(U67="",0,VAR(U$10:U68))</f>
        <v>0</v>
      </c>
      <c r="Y68" s="2"/>
      <c r="Z68" s="15" t="str">
        <f t="shared" si="13"/>
        <v/>
      </c>
      <c r="AA68" s="15">
        <f>IF(Z68="",0,AVERAGE(Z$10:Z68))</f>
        <v>0</v>
      </c>
      <c r="AB68" s="15">
        <f>IF(Z67="",0,VAR(Z$10:Z68))</f>
        <v>0</v>
      </c>
      <c r="AD68" s="2"/>
      <c r="AE68" s="15" t="str">
        <f t="shared" si="20"/>
        <v/>
      </c>
      <c r="AF68" s="15">
        <f>IF(AE68="",0,AVERAGE(AE$10:AE68))</f>
        <v>0</v>
      </c>
      <c r="AG68" s="15">
        <f>IF(AE67="",0,VAR(AE$10:AE68))</f>
        <v>0</v>
      </c>
      <c r="AI68" s="2"/>
      <c r="AJ68" s="15" t="str">
        <f t="shared" si="15"/>
        <v/>
      </c>
      <c r="AK68" s="15">
        <f>IF(AJ68="",0,AVERAGE(AJ$10:AJ68))</f>
        <v>0</v>
      </c>
      <c r="AL68" s="15">
        <f>IF(AJ67="",0,VAR(AJ$10:AJ68))</f>
        <v>0</v>
      </c>
      <c r="AN68" s="2"/>
      <c r="AO68" s="15" t="str">
        <f t="shared" si="16"/>
        <v/>
      </c>
      <c r="AP68" s="15">
        <f>IF(AO68="",0,AVERAGE(AO$10:AO68))</f>
        <v>0</v>
      </c>
      <c r="AQ68" s="15">
        <f>IF(AO67="",0,VAR(AO$10:AO68))</f>
        <v>0</v>
      </c>
      <c r="AS68" s="2"/>
      <c r="AT68" s="15" t="str">
        <f t="shared" si="17"/>
        <v/>
      </c>
      <c r="AU68" s="15">
        <f>IF(AT68="",0,AVERAGE(AT$10:AT68))</f>
        <v>0</v>
      </c>
      <c r="AV68" s="15">
        <f>IF(AT67="",0,VAR(AT$10:AT68))</f>
        <v>0</v>
      </c>
      <c r="AX68" s="2"/>
      <c r="AY68" s="15" t="str">
        <f t="shared" si="18"/>
        <v/>
      </c>
      <c r="AZ68" s="15">
        <f>IF(AY68="",0,AVERAGE(AY$10:AY68))</f>
        <v>0</v>
      </c>
      <c r="BA68" s="15">
        <f>IF(AY67="",0,VAR(AY$10:AY68))</f>
        <v>0</v>
      </c>
    </row>
    <row r="69" spans="3:53" x14ac:dyDescent="0.25">
      <c r="C69" s="2"/>
      <c r="E69" s="2"/>
      <c r="F69" s="15"/>
      <c r="G69" s="15">
        <f>IF(F69="",0,AVERAGE($F$10:F69))</f>
        <v>0</v>
      </c>
      <c r="H69" s="15">
        <f>IF(F68="",0,VAR($F$10:F69))</f>
        <v>0</v>
      </c>
      <c r="J69" s="2"/>
      <c r="K69" s="15" t="str">
        <f t="shared" si="10"/>
        <v/>
      </c>
      <c r="L69" s="15">
        <f>IF(K69="",0,AVERAGE($K$10:K69))</f>
        <v>0</v>
      </c>
      <c r="M69" s="15">
        <f>IF(K68="",0,VAR($K$10:K69))</f>
        <v>0</v>
      </c>
      <c r="O69" s="2"/>
      <c r="P69" s="15" t="str">
        <f t="shared" si="11"/>
        <v/>
      </c>
      <c r="Q69" s="15">
        <f>IF(P69="",0,AVERAGE(P$10:P69))</f>
        <v>0</v>
      </c>
      <c r="R69" s="15">
        <f>IF(P68="",0,VAR(P$10:P69))</f>
        <v>0</v>
      </c>
      <c r="T69" s="2"/>
      <c r="U69" s="15" t="str">
        <f t="shared" si="19"/>
        <v/>
      </c>
      <c r="V69" s="15">
        <f>IF(U69="",0,AVERAGE(U$10:U69))</f>
        <v>0</v>
      </c>
      <c r="W69" s="15">
        <f>IF(U68="",0,VAR(U$10:U69))</f>
        <v>0</v>
      </c>
      <c r="Y69" s="2"/>
      <c r="Z69" s="15" t="str">
        <f t="shared" si="13"/>
        <v/>
      </c>
      <c r="AA69" s="15">
        <f>IF(Z69="",0,AVERAGE(Z$10:Z69))</f>
        <v>0</v>
      </c>
      <c r="AB69" s="15">
        <f>IF(Z68="",0,VAR(Z$10:Z69))</f>
        <v>0</v>
      </c>
      <c r="AD69" s="2"/>
      <c r="AE69" s="15" t="str">
        <f t="shared" si="20"/>
        <v/>
      </c>
      <c r="AF69" s="15">
        <f>IF(AE69="",0,AVERAGE(AE$10:AE69))</f>
        <v>0</v>
      </c>
      <c r="AG69" s="15">
        <f>IF(AE68="",0,VAR(AE$10:AE69))</f>
        <v>0</v>
      </c>
      <c r="AI69" s="2"/>
      <c r="AJ69" s="15" t="str">
        <f t="shared" si="15"/>
        <v/>
      </c>
      <c r="AK69" s="15">
        <f>IF(AJ69="",0,AVERAGE(AJ$10:AJ69))</f>
        <v>0</v>
      </c>
      <c r="AL69" s="15">
        <f>IF(AJ68="",0,VAR(AJ$10:AJ69))</f>
        <v>0</v>
      </c>
      <c r="AN69" s="2"/>
      <c r="AO69" s="15" t="str">
        <f t="shared" si="16"/>
        <v/>
      </c>
      <c r="AP69" s="15">
        <f>IF(AO69="",0,AVERAGE(AO$10:AO69))</f>
        <v>0</v>
      </c>
      <c r="AQ69" s="15">
        <f>IF(AO68="",0,VAR(AO$10:AO69))</f>
        <v>0</v>
      </c>
      <c r="AS69" s="2"/>
      <c r="AT69" s="15" t="str">
        <f t="shared" si="17"/>
        <v/>
      </c>
      <c r="AU69" s="15">
        <f>IF(AT69="",0,AVERAGE(AT$10:AT69))</f>
        <v>0</v>
      </c>
      <c r="AV69" s="15">
        <f>IF(AT68="",0,VAR(AT$10:AT69))</f>
        <v>0</v>
      </c>
      <c r="AX69" s="2"/>
      <c r="AY69" s="15" t="str">
        <f t="shared" si="18"/>
        <v/>
      </c>
      <c r="AZ69" s="15">
        <f>IF(AY69="",0,AVERAGE(AY$10:AY69))</f>
        <v>0</v>
      </c>
      <c r="BA69" s="15">
        <f>IF(AY68="",0,VAR(AY$10:AY69))</f>
        <v>0</v>
      </c>
    </row>
    <row r="70" spans="3:53" x14ac:dyDescent="0.25">
      <c r="C70" s="2"/>
      <c r="E70" s="2"/>
      <c r="F70" s="15" t="str">
        <f t="shared" ref="F70" si="39">IF(E70="","",+(E70-E69)/E69)</f>
        <v/>
      </c>
      <c r="G70" s="15">
        <f>IF(F70="",0,AVERAGE($F$10:F70))</f>
        <v>0</v>
      </c>
      <c r="H70" s="15">
        <f>IF(F69="",0,VAR($F$10:F70))</f>
        <v>0</v>
      </c>
      <c r="J70" s="2"/>
      <c r="K70" s="15" t="str">
        <f t="shared" si="10"/>
        <v/>
      </c>
      <c r="L70" s="15">
        <f>IF(K70="",0,AVERAGE($K$10:K70))</f>
        <v>0</v>
      </c>
      <c r="M70" s="15">
        <f>IF(K69="",0,VAR($K$10:K70))</f>
        <v>0</v>
      </c>
      <c r="O70" s="2"/>
      <c r="P70" s="15" t="str">
        <f t="shared" si="11"/>
        <v/>
      </c>
      <c r="Q70" s="15">
        <f>IF(P70="",0,AVERAGE(P$10:P70))</f>
        <v>0</v>
      </c>
      <c r="R70" s="15">
        <f>IF(P69="",0,VAR(P$10:P70))</f>
        <v>0</v>
      </c>
      <c r="T70" s="2"/>
      <c r="U70" s="15" t="str">
        <f t="shared" si="19"/>
        <v/>
      </c>
      <c r="V70" s="15">
        <f>IF(U70="",0,AVERAGE(U$10:U70))</f>
        <v>0</v>
      </c>
      <c r="W70" s="15">
        <f>IF(U69="",0,VAR(U$10:U70))</f>
        <v>0</v>
      </c>
      <c r="Y70" s="2"/>
      <c r="Z70" s="15" t="str">
        <f t="shared" si="13"/>
        <v/>
      </c>
      <c r="AA70" s="15">
        <f>IF(Z70="",0,AVERAGE(Z$10:Z70))</f>
        <v>0</v>
      </c>
      <c r="AB70" s="15">
        <f>IF(Z69="",0,VAR(Z$10:Z70))</f>
        <v>0</v>
      </c>
      <c r="AD70" s="2"/>
      <c r="AE70" s="15" t="str">
        <f t="shared" si="20"/>
        <v/>
      </c>
      <c r="AF70" s="15">
        <f>IF(AE70="",0,AVERAGE(AE$10:AE70))</f>
        <v>0</v>
      </c>
      <c r="AG70" s="15">
        <f>IF(AE69="",0,VAR(AE$10:AE70))</f>
        <v>0</v>
      </c>
      <c r="AI70" s="2"/>
      <c r="AJ70" s="15" t="str">
        <f t="shared" si="15"/>
        <v/>
      </c>
      <c r="AK70" s="15">
        <f>IF(AJ70="",0,AVERAGE(AJ$10:AJ70))</f>
        <v>0</v>
      </c>
      <c r="AL70" s="15">
        <f>IF(AJ69="",0,VAR(AJ$10:AJ70))</f>
        <v>0</v>
      </c>
      <c r="AN70" s="2"/>
      <c r="AO70" s="15" t="str">
        <f t="shared" si="16"/>
        <v/>
      </c>
      <c r="AP70" s="15">
        <f>IF(AO70="",0,AVERAGE(AO$10:AO70))</f>
        <v>0</v>
      </c>
      <c r="AQ70" s="15">
        <f>IF(AO69="",0,VAR(AO$10:AO70))</f>
        <v>0</v>
      </c>
      <c r="AS70" s="2"/>
      <c r="AT70" s="15" t="str">
        <f t="shared" si="17"/>
        <v/>
      </c>
      <c r="AU70" s="15">
        <f>IF(AT70="",0,AVERAGE(AT$10:AT70))</f>
        <v>0</v>
      </c>
      <c r="AV70" s="15">
        <f>IF(AT69="",0,VAR(AT$10:AT70))</f>
        <v>0</v>
      </c>
      <c r="AX70" s="2"/>
      <c r="AY70" s="15" t="str">
        <f t="shared" si="18"/>
        <v/>
      </c>
      <c r="AZ70" s="15">
        <f>IF(AY70="",0,AVERAGE(AY$10:AY70))</f>
        <v>0</v>
      </c>
      <c r="BA70" s="15">
        <f>IF(AY69="",0,VAR(AY$10:AY70))</f>
        <v>0</v>
      </c>
    </row>
    <row r="71" spans="3:53" x14ac:dyDescent="0.25">
      <c r="C71" s="2"/>
      <c r="E71" s="2"/>
      <c r="F71" s="15" t="str">
        <f t="shared" si="14"/>
        <v/>
      </c>
      <c r="G71" s="15">
        <f>IF(F71="",0,AVERAGE($F$10:F71))</f>
        <v>0</v>
      </c>
      <c r="H71" s="15">
        <f>IF(F70="",0,VAR($F$10:F71))</f>
        <v>0</v>
      </c>
      <c r="J71" s="2"/>
      <c r="K71" s="15" t="str">
        <f t="shared" si="10"/>
        <v/>
      </c>
      <c r="L71" s="15">
        <f>IF(K71="",0,AVERAGE($K$10:K71))</f>
        <v>0</v>
      </c>
      <c r="M71" s="15">
        <f>IF(K70="",0,VAR($K$10:K71))</f>
        <v>0</v>
      </c>
      <c r="O71" s="2"/>
      <c r="P71" s="15" t="str">
        <f t="shared" si="11"/>
        <v/>
      </c>
      <c r="Q71" s="15">
        <f>IF(P71="",0,AVERAGE(P$10:P71))</f>
        <v>0</v>
      </c>
      <c r="R71" s="15">
        <f>IF(P70="",0,VAR(P$10:P71))</f>
        <v>0</v>
      </c>
      <c r="T71" s="2"/>
      <c r="U71" s="15" t="str">
        <f t="shared" si="19"/>
        <v/>
      </c>
      <c r="V71" s="15">
        <f>IF(U71="",0,AVERAGE(U$10:U71))</f>
        <v>0</v>
      </c>
      <c r="W71" s="15">
        <f>IF(U70="",0,VAR(U$10:U71))</f>
        <v>0</v>
      </c>
      <c r="Y71" s="2"/>
      <c r="Z71" s="15" t="str">
        <f t="shared" si="13"/>
        <v/>
      </c>
      <c r="AA71" s="15">
        <f>IF(Z71="",0,AVERAGE(Z$10:Z71))</f>
        <v>0</v>
      </c>
      <c r="AB71" s="15">
        <f>IF(Z70="",0,VAR(Z$10:Z71))</f>
        <v>0</v>
      </c>
      <c r="AD71" s="2"/>
      <c r="AE71" s="15" t="str">
        <f t="shared" si="20"/>
        <v/>
      </c>
      <c r="AF71" s="15">
        <f>IF(AE71="",0,AVERAGE(AE$10:AE71))</f>
        <v>0</v>
      </c>
      <c r="AG71" s="15">
        <f>IF(AE70="",0,VAR(AE$10:AE71))</f>
        <v>0</v>
      </c>
      <c r="AI71" s="2"/>
      <c r="AJ71" s="15" t="str">
        <f t="shared" si="15"/>
        <v/>
      </c>
      <c r="AK71" s="15">
        <f>IF(AJ71="",0,AVERAGE(AJ$10:AJ71))</f>
        <v>0</v>
      </c>
      <c r="AL71" s="15">
        <f>IF(AJ70="",0,VAR(AJ$10:AJ71))</f>
        <v>0</v>
      </c>
      <c r="AN71" s="2"/>
      <c r="AO71" s="15" t="str">
        <f t="shared" si="16"/>
        <v/>
      </c>
      <c r="AP71" s="15">
        <f>IF(AO71="",0,AVERAGE(AO$10:AO71))</f>
        <v>0</v>
      </c>
      <c r="AQ71" s="15">
        <f>IF(AO70="",0,VAR(AO$10:AO71))</f>
        <v>0</v>
      </c>
      <c r="AS71" s="2"/>
      <c r="AT71" s="15" t="str">
        <f t="shared" si="17"/>
        <v/>
      </c>
      <c r="AU71" s="15">
        <f>IF(AT71="",0,AVERAGE(AT$10:AT71))</f>
        <v>0</v>
      </c>
      <c r="AV71" s="15">
        <f>IF(AT70="",0,VAR(AT$10:AT71))</f>
        <v>0</v>
      </c>
      <c r="AX71" s="2"/>
      <c r="AY71" s="15" t="str">
        <f t="shared" si="18"/>
        <v/>
      </c>
      <c r="AZ71" s="15">
        <f>IF(AY71="",0,AVERAGE(AY$10:AY71))</f>
        <v>0</v>
      </c>
      <c r="BA71" s="15">
        <f>IF(AY70="",0,VAR(AY$10:AY71))</f>
        <v>0</v>
      </c>
    </row>
    <row r="72" spans="3:53" x14ac:dyDescent="0.25">
      <c r="C72" s="2"/>
      <c r="E72" s="2"/>
      <c r="F72" s="15"/>
      <c r="G72" s="15">
        <f>IF(F72="",0,AVERAGE($F$10:F72))</f>
        <v>0</v>
      </c>
      <c r="H72" s="15">
        <f>IF(F71="",0,VAR($F$10:F72))</f>
        <v>0</v>
      </c>
      <c r="J72" s="2"/>
      <c r="K72" s="15" t="str">
        <f t="shared" si="10"/>
        <v/>
      </c>
      <c r="L72" s="15">
        <f>IF(K72="",0,AVERAGE($K$10:K72))</f>
        <v>0</v>
      </c>
      <c r="M72" s="15">
        <f>IF(K71="",0,VAR($K$10:K72))</f>
        <v>0</v>
      </c>
      <c r="O72" s="2"/>
      <c r="P72" s="15" t="str">
        <f t="shared" si="11"/>
        <v/>
      </c>
      <c r="Q72" s="15">
        <f>IF(P72="",0,AVERAGE(P$10:P72))</f>
        <v>0</v>
      </c>
      <c r="R72" s="15">
        <f>IF(P71="",0,VAR(P$10:P72))</f>
        <v>0</v>
      </c>
      <c r="T72" s="2"/>
      <c r="U72" s="15" t="str">
        <f t="shared" si="19"/>
        <v/>
      </c>
      <c r="V72" s="15">
        <f>IF(U72="",0,AVERAGE(U$10:U72))</f>
        <v>0</v>
      </c>
      <c r="W72" s="15">
        <f>IF(U71="",0,VAR(U$10:U72))</f>
        <v>0</v>
      </c>
      <c r="Y72" s="2"/>
      <c r="Z72" s="15" t="str">
        <f t="shared" si="13"/>
        <v/>
      </c>
      <c r="AA72" s="15">
        <f>IF(Z72="",0,AVERAGE(Z$10:Z72))</f>
        <v>0</v>
      </c>
      <c r="AB72" s="15">
        <f>IF(Z71="",0,VAR(Z$10:Z72))</f>
        <v>0</v>
      </c>
      <c r="AD72" s="2"/>
      <c r="AE72" s="15" t="str">
        <f t="shared" si="20"/>
        <v/>
      </c>
      <c r="AF72" s="15">
        <f>IF(AE72="",0,AVERAGE(AE$10:AE72))</f>
        <v>0</v>
      </c>
      <c r="AG72" s="15">
        <f>IF(AE71="",0,VAR(AE$10:AE72))</f>
        <v>0</v>
      </c>
      <c r="AI72" s="2"/>
      <c r="AJ72" s="15" t="str">
        <f t="shared" si="15"/>
        <v/>
      </c>
      <c r="AK72" s="15">
        <f>IF(AJ72="",0,AVERAGE(AJ$10:AJ72))</f>
        <v>0</v>
      </c>
      <c r="AL72" s="15">
        <f>IF(AJ71="",0,VAR(AJ$10:AJ72))</f>
        <v>0</v>
      </c>
      <c r="AN72" s="2"/>
      <c r="AO72" s="15" t="str">
        <f t="shared" si="16"/>
        <v/>
      </c>
      <c r="AP72" s="15">
        <f>IF(AO72="",0,AVERAGE(AO$10:AO72))</f>
        <v>0</v>
      </c>
      <c r="AQ72" s="15">
        <f>IF(AO71="",0,VAR(AO$10:AO72))</f>
        <v>0</v>
      </c>
      <c r="AS72" s="2"/>
      <c r="AT72" s="15" t="str">
        <f t="shared" si="17"/>
        <v/>
      </c>
      <c r="AU72" s="15">
        <f>IF(AT72="",0,AVERAGE(AT$10:AT72))</f>
        <v>0</v>
      </c>
      <c r="AV72" s="15">
        <f>IF(AT71="",0,VAR(AT$10:AT72))</f>
        <v>0</v>
      </c>
      <c r="AX72" s="2"/>
      <c r="AY72" s="15" t="str">
        <f t="shared" si="18"/>
        <v/>
      </c>
      <c r="AZ72" s="15">
        <f>IF(AY72="",0,AVERAGE(AY$10:AY72))</f>
        <v>0</v>
      </c>
      <c r="BA72" s="15">
        <f>IF(AY71="",0,VAR(AY$10:AY72))</f>
        <v>0</v>
      </c>
    </row>
    <row r="73" spans="3:53" x14ac:dyDescent="0.25">
      <c r="C73" s="2"/>
      <c r="E73" s="2"/>
      <c r="F73" s="15" t="str">
        <f t="shared" ref="F73" si="40">IF(E73="","",+(E73-E72)/E72)</f>
        <v/>
      </c>
      <c r="G73" s="15">
        <f>IF(F73="",0,AVERAGE($F$10:F73))</f>
        <v>0</v>
      </c>
      <c r="H73" s="15">
        <f>IF(F72="",0,VAR($F$10:F73))</f>
        <v>0</v>
      </c>
      <c r="J73" s="2"/>
      <c r="K73" s="15" t="str">
        <f t="shared" si="10"/>
        <v/>
      </c>
      <c r="L73" s="15">
        <f>IF(K73="",0,AVERAGE($K$10:K73))</f>
        <v>0</v>
      </c>
      <c r="M73" s="15">
        <f>IF(K72="",0,VAR($K$10:K73))</f>
        <v>0</v>
      </c>
      <c r="O73" s="2"/>
      <c r="P73" s="15" t="str">
        <f t="shared" si="11"/>
        <v/>
      </c>
      <c r="Q73" s="15">
        <f>IF(P73="",0,AVERAGE(P$10:P73))</f>
        <v>0</v>
      </c>
      <c r="R73" s="15">
        <f>IF(P72="",0,VAR(P$10:P73))</f>
        <v>0</v>
      </c>
      <c r="T73" s="2"/>
      <c r="U73" s="15" t="str">
        <f t="shared" si="19"/>
        <v/>
      </c>
      <c r="V73" s="15">
        <f>IF(U73="",0,AVERAGE(U$10:U73))</f>
        <v>0</v>
      </c>
      <c r="W73" s="15">
        <f>IF(U72="",0,VAR(U$10:U73))</f>
        <v>0</v>
      </c>
      <c r="Y73" s="2"/>
      <c r="Z73" s="15" t="str">
        <f t="shared" si="13"/>
        <v/>
      </c>
      <c r="AA73" s="15">
        <f>IF(Z73="",0,AVERAGE(Z$10:Z73))</f>
        <v>0</v>
      </c>
      <c r="AB73" s="15">
        <f>IF(Z72="",0,VAR(Z$10:Z73))</f>
        <v>0</v>
      </c>
      <c r="AD73" s="2"/>
      <c r="AE73" s="15" t="str">
        <f t="shared" si="20"/>
        <v/>
      </c>
      <c r="AF73" s="15">
        <f>IF(AE73="",0,AVERAGE(AE$10:AE73))</f>
        <v>0</v>
      </c>
      <c r="AG73" s="15">
        <f>IF(AE72="",0,VAR(AE$10:AE73))</f>
        <v>0</v>
      </c>
      <c r="AI73" s="2"/>
      <c r="AJ73" s="15" t="str">
        <f t="shared" si="15"/>
        <v/>
      </c>
      <c r="AK73" s="15">
        <f>IF(AJ73="",0,AVERAGE(AJ$10:AJ73))</f>
        <v>0</v>
      </c>
      <c r="AL73" s="15">
        <f>IF(AJ72="",0,VAR(AJ$10:AJ73))</f>
        <v>0</v>
      </c>
      <c r="AN73" s="2"/>
      <c r="AO73" s="15" t="str">
        <f t="shared" si="16"/>
        <v/>
      </c>
      <c r="AP73" s="15">
        <f>IF(AO73="",0,AVERAGE(AO$10:AO73))</f>
        <v>0</v>
      </c>
      <c r="AQ73" s="15">
        <f>IF(AO72="",0,VAR(AO$10:AO73))</f>
        <v>0</v>
      </c>
      <c r="AS73" s="2"/>
      <c r="AT73" s="15" t="str">
        <f t="shared" si="17"/>
        <v/>
      </c>
      <c r="AU73" s="15">
        <f>IF(AT73="",0,AVERAGE(AT$10:AT73))</f>
        <v>0</v>
      </c>
      <c r="AV73" s="15">
        <f>IF(AT72="",0,VAR(AT$10:AT73))</f>
        <v>0</v>
      </c>
      <c r="AX73" s="2"/>
      <c r="AY73" s="15" t="str">
        <f t="shared" si="18"/>
        <v/>
      </c>
      <c r="AZ73" s="15">
        <f>IF(AY73="",0,AVERAGE(AY$10:AY73))</f>
        <v>0</v>
      </c>
      <c r="BA73" s="15">
        <f>IF(AY72="",0,VAR(AY$10:AY73))</f>
        <v>0</v>
      </c>
    </row>
    <row r="74" spans="3:53" x14ac:dyDescent="0.25">
      <c r="C74" s="2"/>
      <c r="E74" s="2"/>
      <c r="F74" s="15" t="str">
        <f t="shared" si="14"/>
        <v/>
      </c>
      <c r="G74" s="15">
        <f>IF(F74="",0,AVERAGE($F$10:F74))</f>
        <v>0</v>
      </c>
      <c r="H74" s="15">
        <f>IF(F73="",0,VAR($F$10:F74))</f>
        <v>0</v>
      </c>
      <c r="J74" s="2"/>
      <c r="K74" s="15" t="str">
        <f t="shared" si="10"/>
        <v/>
      </c>
      <c r="L74" s="15">
        <f>IF(K74="",0,AVERAGE($K$10:K74))</f>
        <v>0</v>
      </c>
      <c r="M74" s="15">
        <f>IF(K73="",0,VAR($K$10:K74))</f>
        <v>0</v>
      </c>
      <c r="O74" s="2"/>
      <c r="P74" s="15" t="str">
        <f t="shared" si="11"/>
        <v/>
      </c>
      <c r="Q74" s="15">
        <f>IF(P74="",0,AVERAGE(P$10:P74))</f>
        <v>0</v>
      </c>
      <c r="R74" s="15">
        <f>IF(P73="",0,VAR(P$10:P74))</f>
        <v>0</v>
      </c>
      <c r="T74" s="2"/>
      <c r="U74" s="15" t="str">
        <f t="shared" si="19"/>
        <v/>
      </c>
      <c r="V74" s="15">
        <f>IF(U74="",0,AVERAGE(U$10:U74))</f>
        <v>0</v>
      </c>
      <c r="W74" s="15">
        <f>IF(U73="",0,VAR(U$10:U74))</f>
        <v>0</v>
      </c>
      <c r="Y74" s="2"/>
      <c r="Z74" s="15" t="str">
        <f t="shared" si="13"/>
        <v/>
      </c>
      <c r="AA74" s="15">
        <f>IF(Z74="",0,AVERAGE(Z$10:Z74))</f>
        <v>0</v>
      </c>
      <c r="AB74" s="15">
        <f>IF(Z73="",0,VAR(Z$10:Z74))</f>
        <v>0</v>
      </c>
      <c r="AD74" s="2"/>
      <c r="AE74" s="15" t="str">
        <f t="shared" si="20"/>
        <v/>
      </c>
      <c r="AF74" s="15">
        <f>IF(AE74="",0,AVERAGE(AE$10:AE74))</f>
        <v>0</v>
      </c>
      <c r="AG74" s="15">
        <f>IF(AE73="",0,VAR(AE$10:AE74))</f>
        <v>0</v>
      </c>
      <c r="AI74" s="2"/>
      <c r="AJ74" s="15" t="str">
        <f t="shared" si="15"/>
        <v/>
      </c>
      <c r="AK74" s="15">
        <f>IF(AJ74="",0,AVERAGE(AJ$10:AJ74))</f>
        <v>0</v>
      </c>
      <c r="AL74" s="15">
        <f>IF(AJ73="",0,VAR(AJ$10:AJ74))</f>
        <v>0</v>
      </c>
      <c r="AN74" s="2"/>
      <c r="AO74" s="15" t="str">
        <f t="shared" si="16"/>
        <v/>
      </c>
      <c r="AP74" s="15">
        <f>IF(AO74="",0,AVERAGE(AO$10:AO74))</f>
        <v>0</v>
      </c>
      <c r="AQ74" s="15">
        <f>IF(AO73="",0,VAR(AO$10:AO74))</f>
        <v>0</v>
      </c>
      <c r="AS74" s="2"/>
      <c r="AT74" s="15" t="str">
        <f t="shared" si="17"/>
        <v/>
      </c>
      <c r="AU74" s="15">
        <f>IF(AT74="",0,AVERAGE(AT$10:AT74))</f>
        <v>0</v>
      </c>
      <c r="AV74" s="15">
        <f>IF(AT73="",0,VAR(AT$10:AT74))</f>
        <v>0</v>
      </c>
      <c r="AX74" s="2"/>
      <c r="AY74" s="15" t="str">
        <f t="shared" si="18"/>
        <v/>
      </c>
      <c r="AZ74" s="15">
        <f>IF(AY74="",0,AVERAGE(AY$10:AY74))</f>
        <v>0</v>
      </c>
      <c r="BA74" s="15">
        <f>IF(AY73="",0,VAR(AY$10:AY74))</f>
        <v>0</v>
      </c>
    </row>
    <row r="75" spans="3:53" x14ac:dyDescent="0.25">
      <c r="C75" s="2"/>
      <c r="E75" s="2"/>
      <c r="F75" s="15"/>
      <c r="G75" s="15">
        <f>IF(F75="",0,AVERAGE($F$10:F75))</f>
        <v>0</v>
      </c>
      <c r="H75" s="15">
        <f>IF(F74="",0,VAR($F$10:F75))</f>
        <v>0</v>
      </c>
      <c r="J75" s="2"/>
      <c r="K75" s="15" t="str">
        <f t="shared" si="10"/>
        <v/>
      </c>
      <c r="L75" s="15">
        <f>IF(K75="",0,AVERAGE($K$10:K75))</f>
        <v>0</v>
      </c>
      <c r="M75" s="15">
        <f>IF(K74="",0,VAR($K$10:K75))</f>
        <v>0</v>
      </c>
      <c r="O75" s="2"/>
      <c r="P75" s="15" t="str">
        <f t="shared" si="11"/>
        <v/>
      </c>
      <c r="Q75" s="15">
        <f>IF(P75="",0,AVERAGE(P$10:P75))</f>
        <v>0</v>
      </c>
      <c r="R75" s="15">
        <f>IF(P74="",0,VAR(P$10:P75))</f>
        <v>0</v>
      </c>
      <c r="T75" s="2"/>
      <c r="U75" s="15" t="str">
        <f t="shared" si="19"/>
        <v/>
      </c>
      <c r="V75" s="15">
        <f>IF(U75="",0,AVERAGE(U$10:U75))</f>
        <v>0</v>
      </c>
      <c r="W75" s="15">
        <f>IF(U74="",0,VAR(U$10:U75))</f>
        <v>0</v>
      </c>
      <c r="Y75" s="2"/>
      <c r="Z75" s="15" t="str">
        <f t="shared" si="13"/>
        <v/>
      </c>
      <c r="AA75" s="15">
        <f>IF(Z75="",0,AVERAGE(Z$10:Z75))</f>
        <v>0</v>
      </c>
      <c r="AB75" s="15">
        <f>IF(Z74="",0,VAR(Z$10:Z75))</f>
        <v>0</v>
      </c>
      <c r="AD75" s="2"/>
      <c r="AE75" s="15" t="str">
        <f t="shared" si="20"/>
        <v/>
      </c>
      <c r="AF75" s="15">
        <f>IF(AE75="",0,AVERAGE(AE$10:AE75))</f>
        <v>0</v>
      </c>
      <c r="AG75" s="15">
        <f>IF(AE74="",0,VAR(AE$10:AE75))</f>
        <v>0</v>
      </c>
      <c r="AI75" s="2"/>
      <c r="AJ75" s="15" t="str">
        <f t="shared" si="15"/>
        <v/>
      </c>
      <c r="AK75" s="15">
        <f>IF(AJ75="",0,AVERAGE(AJ$10:AJ75))</f>
        <v>0</v>
      </c>
      <c r="AL75" s="15">
        <f>IF(AJ74="",0,VAR(AJ$10:AJ75))</f>
        <v>0</v>
      </c>
      <c r="AN75" s="2"/>
      <c r="AO75" s="15" t="str">
        <f t="shared" si="16"/>
        <v/>
      </c>
      <c r="AP75" s="15">
        <f>IF(AO75="",0,AVERAGE(AO$10:AO75))</f>
        <v>0</v>
      </c>
      <c r="AQ75" s="15">
        <f>IF(AO74="",0,VAR(AO$10:AO75))</f>
        <v>0</v>
      </c>
      <c r="AS75" s="2"/>
      <c r="AT75" s="15" t="str">
        <f t="shared" si="17"/>
        <v/>
      </c>
      <c r="AU75" s="15">
        <f>IF(AT75="",0,AVERAGE(AT$10:AT75))</f>
        <v>0</v>
      </c>
      <c r="AV75" s="15">
        <f>IF(AT74="",0,VAR(AT$10:AT75))</f>
        <v>0</v>
      </c>
      <c r="AX75" s="2"/>
      <c r="AY75" s="15" t="str">
        <f t="shared" si="18"/>
        <v/>
      </c>
      <c r="AZ75" s="15">
        <f>IF(AY75="",0,AVERAGE(AY$10:AY75))</f>
        <v>0</v>
      </c>
      <c r="BA75" s="15">
        <f>IF(AY74="",0,VAR(AY$10:AY75))</f>
        <v>0</v>
      </c>
    </row>
    <row r="76" spans="3:53" x14ac:dyDescent="0.25">
      <c r="C76" s="2"/>
      <c r="E76" s="2"/>
      <c r="F76" s="15" t="str">
        <f t="shared" ref="F76:F137" si="41">IF(E76="","",+(E76-E75)/E75)</f>
        <v/>
      </c>
      <c r="G76" s="15">
        <f>IF(F76="",0,AVERAGE($F$10:F76))</f>
        <v>0</v>
      </c>
      <c r="H76" s="15">
        <f>IF(F75="",0,VAR($F$10:F76))</f>
        <v>0</v>
      </c>
      <c r="J76" s="2"/>
      <c r="K76" s="15" t="str">
        <f t="shared" ref="K76:K139" si="42">IF(J76="","",+(J76-J75)/J75)</f>
        <v/>
      </c>
      <c r="L76" s="15">
        <f>IF(K76="",0,AVERAGE($K$10:K76))</f>
        <v>0</v>
      </c>
      <c r="M76" s="15">
        <f>IF(K75="",0,VAR($K$10:K76))</f>
        <v>0</v>
      </c>
      <c r="O76" s="2"/>
      <c r="P76" s="15" t="str">
        <f t="shared" ref="P76:P139" si="43">IF(O76="","",+(O76-O75)/O75)</f>
        <v/>
      </c>
      <c r="Q76" s="15">
        <f>IF(P76="",0,AVERAGE(P$10:P76))</f>
        <v>0</v>
      </c>
      <c r="R76" s="15">
        <f>IF(P75="",0,VAR(P$10:P76))</f>
        <v>0</v>
      </c>
      <c r="T76" s="2"/>
      <c r="U76" s="15" t="str">
        <f t="shared" si="19"/>
        <v/>
      </c>
      <c r="V76" s="15">
        <f>IF(U76="",0,AVERAGE(U$10:U76))</f>
        <v>0</v>
      </c>
      <c r="W76" s="15">
        <f>IF(U75="",0,VAR(U$10:U76))</f>
        <v>0</v>
      </c>
      <c r="Y76" s="2"/>
      <c r="Z76" s="15" t="str">
        <f t="shared" ref="Z76:Z139" si="44">IF(Y76="","",+(Y76-Y75)/Y75)</f>
        <v/>
      </c>
      <c r="AA76" s="15">
        <f>IF(Z76="",0,AVERAGE(Z$10:Z76))</f>
        <v>0</v>
      </c>
      <c r="AB76" s="15">
        <f>IF(Z75="",0,VAR(Z$10:Z76))</f>
        <v>0</v>
      </c>
      <c r="AD76" s="2"/>
      <c r="AE76" s="15" t="str">
        <f t="shared" si="20"/>
        <v/>
      </c>
      <c r="AF76" s="15">
        <f>IF(AE76="",0,AVERAGE(AE$10:AE76))</f>
        <v>0</v>
      </c>
      <c r="AG76" s="15">
        <f>IF(AE75="",0,VAR(AE$10:AE76))</f>
        <v>0</v>
      </c>
      <c r="AI76" s="2"/>
      <c r="AJ76" s="15" t="str">
        <f t="shared" si="15"/>
        <v/>
      </c>
      <c r="AK76" s="15">
        <f>IF(AJ76="",0,AVERAGE(AJ$10:AJ76))</f>
        <v>0</v>
      </c>
      <c r="AL76" s="15">
        <f>IF(AJ75="",0,VAR(AJ$10:AJ76))</f>
        <v>0</v>
      </c>
      <c r="AN76" s="2"/>
      <c r="AO76" s="15" t="str">
        <f t="shared" si="16"/>
        <v/>
      </c>
      <c r="AP76" s="15">
        <f>IF(AO76="",0,AVERAGE(AO$10:AO76))</f>
        <v>0</v>
      </c>
      <c r="AQ76" s="15">
        <f>IF(AO75="",0,VAR(AO$10:AO76))</f>
        <v>0</v>
      </c>
      <c r="AS76" s="2"/>
      <c r="AT76" s="15" t="str">
        <f t="shared" si="17"/>
        <v/>
      </c>
      <c r="AU76" s="15">
        <f>IF(AT76="",0,AVERAGE(AT$10:AT76))</f>
        <v>0</v>
      </c>
      <c r="AV76" s="15">
        <f>IF(AT75="",0,VAR(AT$10:AT76))</f>
        <v>0</v>
      </c>
      <c r="AX76" s="2"/>
      <c r="AY76" s="15" t="str">
        <f t="shared" si="18"/>
        <v/>
      </c>
      <c r="AZ76" s="15">
        <f>IF(AY76="",0,AVERAGE(AY$10:AY76))</f>
        <v>0</v>
      </c>
      <c r="BA76" s="15">
        <f>IF(AY75="",0,VAR(AY$10:AY76))</f>
        <v>0</v>
      </c>
    </row>
    <row r="77" spans="3:53" x14ac:dyDescent="0.25">
      <c r="C77" s="2"/>
      <c r="E77" s="2"/>
      <c r="F77" s="15" t="str">
        <f t="shared" si="41"/>
        <v/>
      </c>
      <c r="G77" s="15">
        <f>IF(F77="",0,AVERAGE($F$10:F77))</f>
        <v>0</v>
      </c>
      <c r="H77" s="15">
        <f>IF(F76="",0,VAR($F$10:F77))</f>
        <v>0</v>
      </c>
      <c r="J77" s="2"/>
      <c r="K77" s="15" t="str">
        <f t="shared" si="42"/>
        <v/>
      </c>
      <c r="L77" s="15">
        <f>IF(K77="",0,AVERAGE($K$10:K77))</f>
        <v>0</v>
      </c>
      <c r="M77" s="15">
        <f>IF(K76="",0,VAR($K$10:K77))</f>
        <v>0</v>
      </c>
      <c r="O77" s="2"/>
      <c r="P77" s="15" t="str">
        <f t="shared" si="43"/>
        <v/>
      </c>
      <c r="Q77" s="15">
        <f>IF(P77="",0,AVERAGE(P$10:P77))</f>
        <v>0</v>
      </c>
      <c r="R77" s="15">
        <f>IF(P76="",0,VAR(P$10:P77))</f>
        <v>0</v>
      </c>
      <c r="T77" s="2"/>
      <c r="U77" s="15" t="str">
        <f t="shared" si="19"/>
        <v/>
      </c>
      <c r="V77" s="15">
        <f>IF(U77="",0,AVERAGE(U$10:U77))</f>
        <v>0</v>
      </c>
      <c r="W77" s="15">
        <f>IF(U76="",0,VAR(U$10:U77))</f>
        <v>0</v>
      </c>
      <c r="Y77" s="2"/>
      <c r="Z77" s="15" t="str">
        <f t="shared" si="44"/>
        <v/>
      </c>
      <c r="AA77" s="15">
        <f>IF(Z77="",0,AVERAGE(Z$10:Z77))</f>
        <v>0</v>
      </c>
      <c r="AB77" s="15">
        <f>IF(Z76="",0,VAR(Z$10:Z77))</f>
        <v>0</v>
      </c>
      <c r="AD77" s="2"/>
      <c r="AE77" s="15" t="str">
        <f t="shared" si="20"/>
        <v/>
      </c>
      <c r="AF77" s="15">
        <f>IF(AE77="",0,AVERAGE(AE$10:AE77))</f>
        <v>0</v>
      </c>
      <c r="AG77" s="15">
        <f>IF(AE76="",0,VAR(AE$10:AE77))</f>
        <v>0</v>
      </c>
      <c r="AI77" s="2"/>
      <c r="AJ77" s="15" t="str">
        <f t="shared" ref="AJ77:AJ140" si="45">IF(AI77="","",+(AI77-AI76)/AI76)</f>
        <v/>
      </c>
      <c r="AK77" s="15">
        <f>IF(AJ77="",0,AVERAGE(AJ$10:AJ77))</f>
        <v>0</v>
      </c>
      <c r="AL77" s="15">
        <f>IF(AJ76="",0,VAR(AJ$10:AJ77))</f>
        <v>0</v>
      </c>
      <c r="AN77" s="2"/>
      <c r="AO77" s="15" t="str">
        <f t="shared" ref="AO77:AO140" si="46">IF(AN77="","",+(AN77-AN76)/AN76)</f>
        <v/>
      </c>
      <c r="AP77" s="15">
        <f>IF(AO77="",0,AVERAGE(AO$10:AO77))</f>
        <v>0</v>
      </c>
      <c r="AQ77" s="15">
        <f>IF(AO76="",0,VAR(AO$10:AO77))</f>
        <v>0</v>
      </c>
      <c r="AS77" s="2"/>
      <c r="AT77" s="15" t="str">
        <f t="shared" ref="AT77:AT140" si="47">IF(AS77="","",+(AS77-AS76)/AS76)</f>
        <v/>
      </c>
      <c r="AU77" s="15">
        <f>IF(AT77="",0,AVERAGE(AT$10:AT77))</f>
        <v>0</v>
      </c>
      <c r="AV77" s="15">
        <f>IF(AT76="",0,VAR(AT$10:AT77))</f>
        <v>0</v>
      </c>
      <c r="AX77" s="2"/>
      <c r="AY77" s="15" t="str">
        <f t="shared" ref="AY77:AY140" si="48">IF(AX77="","",+(AX77-AX76)/AX76)</f>
        <v/>
      </c>
      <c r="AZ77" s="15">
        <f>IF(AY77="",0,AVERAGE(AY$10:AY77))</f>
        <v>0</v>
      </c>
      <c r="BA77" s="15">
        <f>IF(AY76="",0,VAR(AY$10:AY77))</f>
        <v>0</v>
      </c>
    </row>
    <row r="78" spans="3:53" x14ac:dyDescent="0.25">
      <c r="C78" s="2"/>
      <c r="E78" s="2"/>
      <c r="F78" s="15"/>
      <c r="G78" s="15">
        <f>IF(F78="",0,AVERAGE($F$10:F78))</f>
        <v>0</v>
      </c>
      <c r="H78" s="15">
        <f>IF(F77="",0,VAR($F$10:F78))</f>
        <v>0</v>
      </c>
      <c r="J78" s="2"/>
      <c r="K78" s="15" t="str">
        <f t="shared" si="42"/>
        <v/>
      </c>
      <c r="L78" s="15">
        <f>IF(K78="",0,AVERAGE($K$10:K78))</f>
        <v>0</v>
      </c>
      <c r="M78" s="15">
        <f>IF(K77="",0,VAR($K$10:K78))</f>
        <v>0</v>
      </c>
      <c r="O78" s="2"/>
      <c r="P78" s="15" t="str">
        <f t="shared" si="43"/>
        <v/>
      </c>
      <c r="Q78" s="15">
        <f>IF(P78="",0,AVERAGE(P$10:P78))</f>
        <v>0</v>
      </c>
      <c r="R78" s="15">
        <f>IF(P77="",0,VAR(P$10:P78))</f>
        <v>0</v>
      </c>
      <c r="T78" s="2"/>
      <c r="U78" s="15" t="str">
        <f t="shared" ref="U78:U141" si="49">IF(T78="","",+(T78-T77)/T77)</f>
        <v/>
      </c>
      <c r="V78" s="15">
        <f>IF(U78="",0,AVERAGE(U$10:U78))</f>
        <v>0</v>
      </c>
      <c r="W78" s="15">
        <f>IF(U77="",0,VAR(U$10:U78))</f>
        <v>0</v>
      </c>
      <c r="Y78" s="2"/>
      <c r="Z78" s="15" t="str">
        <f t="shared" si="44"/>
        <v/>
      </c>
      <c r="AA78" s="15">
        <f>IF(Z78="",0,AVERAGE(Z$10:Z78))</f>
        <v>0</v>
      </c>
      <c r="AB78" s="15">
        <f>IF(Z77="",0,VAR(Z$10:Z78))</f>
        <v>0</v>
      </c>
      <c r="AD78" s="2"/>
      <c r="AE78" s="15" t="str">
        <f t="shared" ref="AE78:AE141" si="50">IF(AD78="","",+(AD78-AD77)/AD77)</f>
        <v/>
      </c>
      <c r="AF78" s="15">
        <f>IF(AE78="",0,AVERAGE(AE$10:AE78))</f>
        <v>0</v>
      </c>
      <c r="AG78" s="15">
        <f>IF(AE77="",0,VAR(AE$10:AE78))</f>
        <v>0</v>
      </c>
      <c r="AI78" s="2"/>
      <c r="AJ78" s="15" t="str">
        <f t="shared" si="45"/>
        <v/>
      </c>
      <c r="AK78" s="15">
        <f>IF(AJ78="",0,AVERAGE(AJ$10:AJ78))</f>
        <v>0</v>
      </c>
      <c r="AL78" s="15">
        <f>IF(AJ77="",0,VAR(AJ$10:AJ78))</f>
        <v>0</v>
      </c>
      <c r="AN78" s="2"/>
      <c r="AO78" s="15" t="str">
        <f t="shared" si="46"/>
        <v/>
      </c>
      <c r="AP78" s="15">
        <f>IF(AO78="",0,AVERAGE(AO$10:AO78))</f>
        <v>0</v>
      </c>
      <c r="AQ78" s="15">
        <f>IF(AO77="",0,VAR(AO$10:AO78))</f>
        <v>0</v>
      </c>
      <c r="AS78" s="2"/>
      <c r="AT78" s="15" t="str">
        <f t="shared" si="47"/>
        <v/>
      </c>
      <c r="AU78" s="15">
        <f>IF(AT78="",0,AVERAGE(AT$10:AT78))</f>
        <v>0</v>
      </c>
      <c r="AV78" s="15">
        <f>IF(AT77="",0,VAR(AT$10:AT78))</f>
        <v>0</v>
      </c>
      <c r="AX78" s="2"/>
      <c r="AY78" s="15" t="str">
        <f t="shared" si="48"/>
        <v/>
      </c>
      <c r="AZ78" s="15">
        <f>IF(AY78="",0,AVERAGE(AY$10:AY78))</f>
        <v>0</v>
      </c>
      <c r="BA78" s="15">
        <f>IF(AY77="",0,VAR(AY$10:AY78))</f>
        <v>0</v>
      </c>
    </row>
    <row r="79" spans="3:53" x14ac:dyDescent="0.25">
      <c r="C79" s="2"/>
      <c r="E79" s="2"/>
      <c r="F79" s="15" t="str">
        <f t="shared" ref="F79" si="51">IF(E79="","",+(E79-E78)/E78)</f>
        <v/>
      </c>
      <c r="G79" s="15">
        <f>IF(F79="",0,AVERAGE($F$10:F79))</f>
        <v>0</v>
      </c>
      <c r="H79" s="15">
        <f>IF(F78="",0,VAR($F$10:F79))</f>
        <v>0</v>
      </c>
      <c r="J79" s="2"/>
      <c r="K79" s="15" t="str">
        <f t="shared" si="42"/>
        <v/>
      </c>
      <c r="L79" s="15">
        <f>IF(K79="",0,AVERAGE($K$10:K79))</f>
        <v>0</v>
      </c>
      <c r="M79" s="15">
        <f>IF(K78="",0,VAR($K$10:K79))</f>
        <v>0</v>
      </c>
      <c r="O79" s="2"/>
      <c r="P79" s="15" t="str">
        <f t="shared" si="43"/>
        <v/>
      </c>
      <c r="Q79" s="15">
        <f>IF(P79="",0,AVERAGE(P$10:P79))</f>
        <v>0</v>
      </c>
      <c r="R79" s="15">
        <f>IF(P78="",0,VAR(P$10:P79))</f>
        <v>0</v>
      </c>
      <c r="T79" s="2"/>
      <c r="U79" s="15" t="str">
        <f t="shared" si="49"/>
        <v/>
      </c>
      <c r="V79" s="15">
        <f>IF(U79="",0,AVERAGE(U$10:U79))</f>
        <v>0</v>
      </c>
      <c r="W79" s="15">
        <f>IF(U78="",0,VAR(U$10:U79))</f>
        <v>0</v>
      </c>
      <c r="Y79" s="2"/>
      <c r="Z79" s="15" t="str">
        <f t="shared" si="44"/>
        <v/>
      </c>
      <c r="AA79" s="15">
        <f>IF(Z79="",0,AVERAGE(Z$10:Z79))</f>
        <v>0</v>
      </c>
      <c r="AB79" s="15">
        <f>IF(Z78="",0,VAR(Z$10:Z79))</f>
        <v>0</v>
      </c>
      <c r="AD79" s="2"/>
      <c r="AE79" s="15" t="str">
        <f t="shared" si="50"/>
        <v/>
      </c>
      <c r="AF79" s="15">
        <f>IF(AE79="",0,AVERAGE(AE$10:AE79))</f>
        <v>0</v>
      </c>
      <c r="AG79" s="15">
        <f>IF(AE78="",0,VAR(AE$10:AE79))</f>
        <v>0</v>
      </c>
      <c r="AI79" s="2"/>
      <c r="AJ79" s="15" t="str">
        <f t="shared" si="45"/>
        <v/>
      </c>
      <c r="AK79" s="15">
        <f>IF(AJ79="",0,AVERAGE(AJ$10:AJ79))</f>
        <v>0</v>
      </c>
      <c r="AL79" s="15">
        <f>IF(AJ78="",0,VAR(AJ$10:AJ79))</f>
        <v>0</v>
      </c>
      <c r="AN79" s="2"/>
      <c r="AO79" s="15" t="str">
        <f t="shared" si="46"/>
        <v/>
      </c>
      <c r="AP79" s="15">
        <f>IF(AO79="",0,AVERAGE(AO$10:AO79))</f>
        <v>0</v>
      </c>
      <c r="AQ79" s="15">
        <f>IF(AO78="",0,VAR(AO$10:AO79))</f>
        <v>0</v>
      </c>
      <c r="AS79" s="2"/>
      <c r="AT79" s="15" t="str">
        <f t="shared" si="47"/>
        <v/>
      </c>
      <c r="AU79" s="15">
        <f>IF(AT79="",0,AVERAGE(AT$10:AT79))</f>
        <v>0</v>
      </c>
      <c r="AV79" s="15">
        <f>IF(AT78="",0,VAR(AT$10:AT79))</f>
        <v>0</v>
      </c>
      <c r="AX79" s="2"/>
      <c r="AY79" s="15" t="str">
        <f t="shared" si="48"/>
        <v/>
      </c>
      <c r="AZ79" s="15">
        <f>IF(AY79="",0,AVERAGE(AY$10:AY79))</f>
        <v>0</v>
      </c>
      <c r="BA79" s="15">
        <f>IF(AY78="",0,VAR(AY$10:AY79))</f>
        <v>0</v>
      </c>
    </row>
    <row r="80" spans="3:53" x14ac:dyDescent="0.25">
      <c r="C80" s="2"/>
      <c r="E80" s="2"/>
      <c r="F80" s="15" t="str">
        <f t="shared" si="41"/>
        <v/>
      </c>
      <c r="G80" s="15">
        <f>IF(F80="",0,AVERAGE($F$10:F80))</f>
        <v>0</v>
      </c>
      <c r="H80" s="15">
        <f>IF(F79="",0,VAR($F$10:F80))</f>
        <v>0</v>
      </c>
      <c r="J80" s="2"/>
      <c r="K80" s="15" t="str">
        <f t="shared" si="42"/>
        <v/>
      </c>
      <c r="L80" s="15">
        <f>IF(K80="",0,AVERAGE($K$10:K80))</f>
        <v>0</v>
      </c>
      <c r="M80" s="15">
        <f>IF(K79="",0,VAR($K$10:K80))</f>
        <v>0</v>
      </c>
      <c r="O80" s="2"/>
      <c r="P80" s="15" t="str">
        <f t="shared" si="43"/>
        <v/>
      </c>
      <c r="Q80" s="15">
        <f>IF(P80="",0,AVERAGE(P$10:P80))</f>
        <v>0</v>
      </c>
      <c r="R80" s="15">
        <f>IF(P79="",0,VAR(P$10:P80))</f>
        <v>0</v>
      </c>
      <c r="T80" s="2"/>
      <c r="U80" s="15" t="str">
        <f t="shared" si="49"/>
        <v/>
      </c>
      <c r="V80" s="15">
        <f>IF(U80="",0,AVERAGE(U$10:U80))</f>
        <v>0</v>
      </c>
      <c r="W80" s="15">
        <f>IF(U79="",0,VAR(U$10:U80))</f>
        <v>0</v>
      </c>
      <c r="Y80" s="2"/>
      <c r="Z80" s="15" t="str">
        <f t="shared" si="44"/>
        <v/>
      </c>
      <c r="AA80" s="15">
        <f>IF(Z80="",0,AVERAGE(Z$10:Z80))</f>
        <v>0</v>
      </c>
      <c r="AB80" s="15">
        <f>IF(Z79="",0,VAR(Z$10:Z80))</f>
        <v>0</v>
      </c>
      <c r="AD80" s="2"/>
      <c r="AE80" s="15" t="str">
        <f t="shared" si="50"/>
        <v/>
      </c>
      <c r="AF80" s="15">
        <f>IF(AE80="",0,AVERAGE(AE$10:AE80))</f>
        <v>0</v>
      </c>
      <c r="AG80" s="15">
        <f>IF(AE79="",0,VAR(AE$10:AE80))</f>
        <v>0</v>
      </c>
      <c r="AI80" s="2"/>
      <c r="AJ80" s="15" t="str">
        <f t="shared" si="45"/>
        <v/>
      </c>
      <c r="AK80" s="15">
        <f>IF(AJ80="",0,AVERAGE(AJ$10:AJ80))</f>
        <v>0</v>
      </c>
      <c r="AL80" s="15">
        <f>IF(AJ79="",0,VAR(AJ$10:AJ80))</f>
        <v>0</v>
      </c>
      <c r="AN80" s="2"/>
      <c r="AO80" s="15" t="str">
        <f t="shared" si="46"/>
        <v/>
      </c>
      <c r="AP80" s="15">
        <f>IF(AO80="",0,AVERAGE(AO$10:AO80))</f>
        <v>0</v>
      </c>
      <c r="AQ80" s="15">
        <f>IF(AO79="",0,VAR(AO$10:AO80))</f>
        <v>0</v>
      </c>
      <c r="AS80" s="2"/>
      <c r="AT80" s="15" t="str">
        <f t="shared" si="47"/>
        <v/>
      </c>
      <c r="AU80" s="15">
        <f>IF(AT80="",0,AVERAGE(AT$10:AT80))</f>
        <v>0</v>
      </c>
      <c r="AV80" s="15">
        <f>IF(AT79="",0,VAR(AT$10:AT80))</f>
        <v>0</v>
      </c>
      <c r="AX80" s="2"/>
      <c r="AY80" s="15" t="str">
        <f t="shared" si="48"/>
        <v/>
      </c>
      <c r="AZ80" s="15">
        <f>IF(AY80="",0,AVERAGE(AY$10:AY80))</f>
        <v>0</v>
      </c>
      <c r="BA80" s="15">
        <f>IF(AY79="",0,VAR(AY$10:AY80))</f>
        <v>0</v>
      </c>
    </row>
    <row r="81" spans="3:53" x14ac:dyDescent="0.25">
      <c r="C81" s="2"/>
      <c r="E81" s="2"/>
      <c r="F81" s="15"/>
      <c r="G81" s="15">
        <f>IF(F81="",0,AVERAGE($F$10:F81))</f>
        <v>0</v>
      </c>
      <c r="H81" s="15">
        <f>IF(F80="",0,VAR($F$10:F81))</f>
        <v>0</v>
      </c>
      <c r="J81" s="2"/>
      <c r="K81" s="15" t="str">
        <f t="shared" si="42"/>
        <v/>
      </c>
      <c r="L81" s="15">
        <f>IF(K81="",0,AVERAGE($K$10:K81))</f>
        <v>0</v>
      </c>
      <c r="M81" s="15">
        <f>IF(K80="",0,VAR($K$10:K81))</f>
        <v>0</v>
      </c>
      <c r="O81" s="2"/>
      <c r="P81" s="15" t="str">
        <f t="shared" si="43"/>
        <v/>
      </c>
      <c r="Q81" s="15">
        <f>IF(P81="",0,AVERAGE(P$10:P81))</f>
        <v>0</v>
      </c>
      <c r="R81" s="15">
        <f>IF(P80="",0,VAR(P$10:P81))</f>
        <v>0</v>
      </c>
      <c r="T81" s="2"/>
      <c r="U81" s="15" t="str">
        <f t="shared" si="49"/>
        <v/>
      </c>
      <c r="V81" s="15">
        <f>IF(U81="",0,AVERAGE(U$10:U81))</f>
        <v>0</v>
      </c>
      <c r="W81" s="15">
        <f>IF(U80="",0,VAR(U$10:U81))</f>
        <v>0</v>
      </c>
      <c r="Y81" s="2"/>
      <c r="Z81" s="15" t="str">
        <f t="shared" si="44"/>
        <v/>
      </c>
      <c r="AA81" s="15">
        <f>IF(Z81="",0,AVERAGE(Z$10:Z81))</f>
        <v>0</v>
      </c>
      <c r="AB81" s="15">
        <f>IF(Z80="",0,VAR(Z$10:Z81))</f>
        <v>0</v>
      </c>
      <c r="AD81" s="2"/>
      <c r="AE81" s="15" t="str">
        <f t="shared" si="50"/>
        <v/>
      </c>
      <c r="AF81" s="15">
        <f>IF(AE81="",0,AVERAGE(AE$10:AE81))</f>
        <v>0</v>
      </c>
      <c r="AG81" s="15">
        <f>IF(AE80="",0,VAR(AE$10:AE81))</f>
        <v>0</v>
      </c>
      <c r="AI81" s="2"/>
      <c r="AJ81" s="15" t="str">
        <f t="shared" si="45"/>
        <v/>
      </c>
      <c r="AK81" s="15">
        <f>IF(AJ81="",0,AVERAGE(AJ$10:AJ81))</f>
        <v>0</v>
      </c>
      <c r="AL81" s="15">
        <f>IF(AJ80="",0,VAR(AJ$10:AJ81))</f>
        <v>0</v>
      </c>
      <c r="AN81" s="2"/>
      <c r="AO81" s="15" t="str">
        <f t="shared" si="46"/>
        <v/>
      </c>
      <c r="AP81" s="15">
        <f>IF(AO81="",0,AVERAGE(AO$10:AO81))</f>
        <v>0</v>
      </c>
      <c r="AQ81" s="15">
        <f>IF(AO80="",0,VAR(AO$10:AO81))</f>
        <v>0</v>
      </c>
      <c r="AS81" s="2"/>
      <c r="AT81" s="15" t="str">
        <f t="shared" si="47"/>
        <v/>
      </c>
      <c r="AU81" s="15">
        <f>IF(AT81="",0,AVERAGE(AT$10:AT81))</f>
        <v>0</v>
      </c>
      <c r="AV81" s="15">
        <f>IF(AT80="",0,VAR(AT$10:AT81))</f>
        <v>0</v>
      </c>
      <c r="AX81" s="2"/>
      <c r="AY81" s="15" t="str">
        <f t="shared" si="48"/>
        <v/>
      </c>
      <c r="AZ81" s="15">
        <f>IF(AY81="",0,AVERAGE(AY$10:AY81))</f>
        <v>0</v>
      </c>
      <c r="BA81" s="15">
        <f>IF(AY80="",0,VAR(AY$10:AY81))</f>
        <v>0</v>
      </c>
    </row>
    <row r="82" spans="3:53" x14ac:dyDescent="0.25">
      <c r="C82" s="2"/>
      <c r="E82" s="2"/>
      <c r="F82" s="15" t="str">
        <f t="shared" ref="F82" si="52">IF(E82="","",+(E82-E81)/E81)</f>
        <v/>
      </c>
      <c r="G82" s="15">
        <f>IF(F82="",0,AVERAGE($F$10:F82))</f>
        <v>0</v>
      </c>
      <c r="H82" s="15">
        <f>IF(F81="",0,VAR($F$10:F82))</f>
        <v>0</v>
      </c>
      <c r="J82" s="2"/>
      <c r="K82" s="15" t="str">
        <f t="shared" si="42"/>
        <v/>
      </c>
      <c r="L82" s="15">
        <f>IF(K82="",0,AVERAGE($K$10:K82))</f>
        <v>0</v>
      </c>
      <c r="M82" s="15">
        <f>IF(K81="",0,VAR($K$10:K82))</f>
        <v>0</v>
      </c>
      <c r="O82" s="2"/>
      <c r="P82" s="15" t="str">
        <f t="shared" si="43"/>
        <v/>
      </c>
      <c r="Q82" s="15">
        <f>IF(P82="",0,AVERAGE(P$10:P82))</f>
        <v>0</v>
      </c>
      <c r="R82" s="15">
        <f>IF(P81="",0,VAR(P$10:P82))</f>
        <v>0</v>
      </c>
      <c r="T82" s="2"/>
      <c r="U82" s="15" t="str">
        <f t="shared" si="49"/>
        <v/>
      </c>
      <c r="V82" s="15">
        <f>IF(U82="",0,AVERAGE(U$10:U82))</f>
        <v>0</v>
      </c>
      <c r="W82" s="15">
        <f>IF(U81="",0,VAR(U$10:U82))</f>
        <v>0</v>
      </c>
      <c r="Y82" s="2"/>
      <c r="Z82" s="15" t="str">
        <f t="shared" si="44"/>
        <v/>
      </c>
      <c r="AA82" s="15">
        <f>IF(Z82="",0,AVERAGE(Z$10:Z82))</f>
        <v>0</v>
      </c>
      <c r="AB82" s="15">
        <f>IF(Z81="",0,VAR(Z$10:Z82))</f>
        <v>0</v>
      </c>
      <c r="AD82" s="2"/>
      <c r="AE82" s="15" t="str">
        <f t="shared" si="50"/>
        <v/>
      </c>
      <c r="AF82" s="15">
        <f>IF(AE82="",0,AVERAGE(AE$10:AE82))</f>
        <v>0</v>
      </c>
      <c r="AG82" s="15">
        <f>IF(AE81="",0,VAR(AE$10:AE82))</f>
        <v>0</v>
      </c>
      <c r="AI82" s="2"/>
      <c r="AJ82" s="15" t="str">
        <f t="shared" si="45"/>
        <v/>
      </c>
      <c r="AK82" s="15">
        <f>IF(AJ82="",0,AVERAGE(AJ$10:AJ82))</f>
        <v>0</v>
      </c>
      <c r="AL82" s="15">
        <f>IF(AJ81="",0,VAR(AJ$10:AJ82))</f>
        <v>0</v>
      </c>
      <c r="AN82" s="2"/>
      <c r="AO82" s="15" t="str">
        <f t="shared" si="46"/>
        <v/>
      </c>
      <c r="AP82" s="15">
        <f>IF(AO82="",0,AVERAGE(AO$10:AO82))</f>
        <v>0</v>
      </c>
      <c r="AQ82" s="15">
        <f>IF(AO81="",0,VAR(AO$10:AO82))</f>
        <v>0</v>
      </c>
      <c r="AS82" s="2"/>
      <c r="AT82" s="15" t="str">
        <f t="shared" si="47"/>
        <v/>
      </c>
      <c r="AU82" s="15">
        <f>IF(AT82="",0,AVERAGE(AT$10:AT82))</f>
        <v>0</v>
      </c>
      <c r="AV82" s="15">
        <f>IF(AT81="",0,VAR(AT$10:AT82))</f>
        <v>0</v>
      </c>
      <c r="AX82" s="2"/>
      <c r="AY82" s="15" t="str">
        <f t="shared" si="48"/>
        <v/>
      </c>
      <c r="AZ82" s="15">
        <f>IF(AY82="",0,AVERAGE(AY$10:AY82))</f>
        <v>0</v>
      </c>
      <c r="BA82" s="15">
        <f>IF(AY81="",0,VAR(AY$10:AY82))</f>
        <v>0</v>
      </c>
    </row>
    <row r="83" spans="3:53" x14ac:dyDescent="0.25">
      <c r="C83" s="2"/>
      <c r="E83" s="2"/>
      <c r="F83" s="15" t="str">
        <f t="shared" si="41"/>
        <v/>
      </c>
      <c r="G83" s="15">
        <f>IF(F83="",0,AVERAGE($F$10:F83))</f>
        <v>0</v>
      </c>
      <c r="H83" s="15">
        <f>IF(F82="",0,VAR($F$10:F83))</f>
        <v>0</v>
      </c>
      <c r="J83" s="2"/>
      <c r="K83" s="15" t="str">
        <f t="shared" si="42"/>
        <v/>
      </c>
      <c r="L83" s="15">
        <f>IF(K83="",0,AVERAGE($K$10:K83))</f>
        <v>0</v>
      </c>
      <c r="M83" s="15">
        <f>IF(K82="",0,VAR($K$10:K83))</f>
        <v>0</v>
      </c>
      <c r="O83" s="2"/>
      <c r="P83" s="15" t="str">
        <f t="shared" si="43"/>
        <v/>
      </c>
      <c r="Q83" s="15">
        <f>IF(P83="",0,AVERAGE(P$10:P83))</f>
        <v>0</v>
      </c>
      <c r="R83" s="15">
        <f>IF(P82="",0,VAR(P$10:P83))</f>
        <v>0</v>
      </c>
      <c r="T83" s="2"/>
      <c r="U83" s="15" t="str">
        <f t="shared" si="49"/>
        <v/>
      </c>
      <c r="V83" s="15">
        <f>IF(U83="",0,AVERAGE(U$10:U83))</f>
        <v>0</v>
      </c>
      <c r="W83" s="15">
        <f>IF(U82="",0,VAR(U$10:U83))</f>
        <v>0</v>
      </c>
      <c r="Y83" s="2"/>
      <c r="Z83" s="15" t="str">
        <f t="shared" si="44"/>
        <v/>
      </c>
      <c r="AA83" s="15">
        <f>IF(Z83="",0,AVERAGE(Z$10:Z83))</f>
        <v>0</v>
      </c>
      <c r="AB83" s="15">
        <f>IF(Z82="",0,VAR(Z$10:Z83))</f>
        <v>0</v>
      </c>
      <c r="AD83" s="2"/>
      <c r="AE83" s="15" t="str">
        <f t="shared" si="50"/>
        <v/>
      </c>
      <c r="AF83" s="15">
        <f>IF(AE83="",0,AVERAGE(AE$10:AE83))</f>
        <v>0</v>
      </c>
      <c r="AG83" s="15">
        <f>IF(AE82="",0,VAR(AE$10:AE83))</f>
        <v>0</v>
      </c>
      <c r="AI83" s="2"/>
      <c r="AJ83" s="15" t="str">
        <f t="shared" si="45"/>
        <v/>
      </c>
      <c r="AK83" s="15">
        <f>IF(AJ83="",0,AVERAGE(AJ$10:AJ83))</f>
        <v>0</v>
      </c>
      <c r="AL83" s="15">
        <f>IF(AJ82="",0,VAR(AJ$10:AJ83))</f>
        <v>0</v>
      </c>
      <c r="AN83" s="2"/>
      <c r="AO83" s="15" t="str">
        <f t="shared" si="46"/>
        <v/>
      </c>
      <c r="AP83" s="15">
        <f>IF(AO83="",0,AVERAGE(AO$10:AO83))</f>
        <v>0</v>
      </c>
      <c r="AQ83" s="15">
        <f>IF(AO82="",0,VAR(AO$10:AO83))</f>
        <v>0</v>
      </c>
      <c r="AS83" s="2"/>
      <c r="AT83" s="15" t="str">
        <f t="shared" si="47"/>
        <v/>
      </c>
      <c r="AU83" s="15">
        <f>IF(AT83="",0,AVERAGE(AT$10:AT83))</f>
        <v>0</v>
      </c>
      <c r="AV83" s="15">
        <f>IF(AT82="",0,VAR(AT$10:AT83))</f>
        <v>0</v>
      </c>
      <c r="AX83" s="2"/>
      <c r="AY83" s="15" t="str">
        <f t="shared" si="48"/>
        <v/>
      </c>
      <c r="AZ83" s="15">
        <f>IF(AY83="",0,AVERAGE(AY$10:AY83))</f>
        <v>0</v>
      </c>
      <c r="BA83" s="15">
        <f>IF(AY82="",0,VAR(AY$10:AY83))</f>
        <v>0</v>
      </c>
    </row>
    <row r="84" spans="3:53" x14ac:dyDescent="0.25">
      <c r="C84" s="2"/>
      <c r="E84" s="2"/>
      <c r="F84" s="15"/>
      <c r="G84" s="15">
        <f>IF(F84="",0,AVERAGE($F$10:F84))</f>
        <v>0</v>
      </c>
      <c r="H84" s="15">
        <f>IF(F83="",0,VAR($F$10:F84))</f>
        <v>0</v>
      </c>
      <c r="J84" s="2"/>
      <c r="K84" s="15" t="str">
        <f t="shared" si="42"/>
        <v/>
      </c>
      <c r="L84" s="15">
        <f>IF(K84="",0,AVERAGE($K$10:K84))</f>
        <v>0</v>
      </c>
      <c r="M84" s="15">
        <f>IF(K83="",0,VAR($K$10:K84))</f>
        <v>0</v>
      </c>
      <c r="O84" s="2"/>
      <c r="P84" s="15" t="str">
        <f t="shared" si="43"/>
        <v/>
      </c>
      <c r="Q84" s="15">
        <f>IF(P84="",0,AVERAGE(P$10:P84))</f>
        <v>0</v>
      </c>
      <c r="R84" s="15">
        <f>IF(P83="",0,VAR(P$10:P84))</f>
        <v>0</v>
      </c>
      <c r="T84" s="2"/>
      <c r="U84" s="15" t="str">
        <f t="shared" si="49"/>
        <v/>
      </c>
      <c r="V84" s="15">
        <f>IF(U84="",0,AVERAGE(U$10:U84))</f>
        <v>0</v>
      </c>
      <c r="W84" s="15">
        <f>IF(U83="",0,VAR(U$10:U84))</f>
        <v>0</v>
      </c>
      <c r="Y84" s="2"/>
      <c r="Z84" s="15" t="str">
        <f t="shared" si="44"/>
        <v/>
      </c>
      <c r="AA84" s="15">
        <f>IF(Z84="",0,AVERAGE(Z$10:Z84))</f>
        <v>0</v>
      </c>
      <c r="AB84" s="15">
        <f>IF(Z83="",0,VAR(Z$10:Z84))</f>
        <v>0</v>
      </c>
      <c r="AD84" s="2"/>
      <c r="AE84" s="15" t="str">
        <f t="shared" si="50"/>
        <v/>
      </c>
      <c r="AF84" s="15">
        <f>IF(AE84="",0,AVERAGE(AE$10:AE84))</f>
        <v>0</v>
      </c>
      <c r="AG84" s="15">
        <f>IF(AE83="",0,VAR(AE$10:AE84))</f>
        <v>0</v>
      </c>
      <c r="AI84" s="2"/>
      <c r="AJ84" s="15" t="str">
        <f t="shared" si="45"/>
        <v/>
      </c>
      <c r="AK84" s="15">
        <f>IF(AJ84="",0,AVERAGE(AJ$10:AJ84))</f>
        <v>0</v>
      </c>
      <c r="AL84" s="15">
        <f>IF(AJ83="",0,VAR(AJ$10:AJ84))</f>
        <v>0</v>
      </c>
      <c r="AN84" s="2"/>
      <c r="AO84" s="15" t="str">
        <f t="shared" si="46"/>
        <v/>
      </c>
      <c r="AP84" s="15">
        <f>IF(AO84="",0,AVERAGE(AO$10:AO84))</f>
        <v>0</v>
      </c>
      <c r="AQ84" s="15">
        <f>IF(AO83="",0,VAR(AO$10:AO84))</f>
        <v>0</v>
      </c>
      <c r="AS84" s="2"/>
      <c r="AT84" s="15" t="str">
        <f t="shared" si="47"/>
        <v/>
      </c>
      <c r="AU84" s="15">
        <f>IF(AT84="",0,AVERAGE(AT$10:AT84))</f>
        <v>0</v>
      </c>
      <c r="AV84" s="15">
        <f>IF(AT83="",0,VAR(AT$10:AT84))</f>
        <v>0</v>
      </c>
      <c r="AX84" s="2"/>
      <c r="AY84" s="15" t="str">
        <f t="shared" si="48"/>
        <v/>
      </c>
      <c r="AZ84" s="15">
        <f>IF(AY84="",0,AVERAGE(AY$10:AY84))</f>
        <v>0</v>
      </c>
      <c r="BA84" s="15">
        <f>IF(AY83="",0,VAR(AY$10:AY84))</f>
        <v>0</v>
      </c>
    </row>
    <row r="85" spans="3:53" x14ac:dyDescent="0.25">
      <c r="C85" s="2"/>
      <c r="E85" s="2"/>
      <c r="F85" s="15" t="str">
        <f t="shared" ref="F85" si="53">IF(E85="","",+(E85-E84)/E84)</f>
        <v/>
      </c>
      <c r="G85" s="15">
        <f>IF(F85="",0,AVERAGE($F$10:F85))</f>
        <v>0</v>
      </c>
      <c r="H85" s="15">
        <f>IF(F84="",0,VAR($F$10:F85))</f>
        <v>0</v>
      </c>
      <c r="J85" s="2"/>
      <c r="K85" s="15" t="str">
        <f t="shared" si="42"/>
        <v/>
      </c>
      <c r="L85" s="15">
        <f>IF(K85="",0,AVERAGE($K$10:K85))</f>
        <v>0</v>
      </c>
      <c r="M85" s="15">
        <f>IF(K84="",0,VAR($K$10:K85))</f>
        <v>0</v>
      </c>
      <c r="O85" s="2"/>
      <c r="P85" s="15" t="str">
        <f t="shared" si="43"/>
        <v/>
      </c>
      <c r="Q85" s="15">
        <f>IF(P85="",0,AVERAGE(P$10:P85))</f>
        <v>0</v>
      </c>
      <c r="R85" s="15">
        <f>IF(P84="",0,VAR(P$10:P85))</f>
        <v>0</v>
      </c>
      <c r="T85" s="2"/>
      <c r="U85" s="15" t="str">
        <f t="shared" si="49"/>
        <v/>
      </c>
      <c r="V85" s="15">
        <f>IF(U85="",0,AVERAGE(U$10:U85))</f>
        <v>0</v>
      </c>
      <c r="W85" s="15">
        <f>IF(U84="",0,VAR(U$10:U85))</f>
        <v>0</v>
      </c>
      <c r="Y85" s="2"/>
      <c r="Z85" s="15" t="str">
        <f t="shared" si="44"/>
        <v/>
      </c>
      <c r="AA85" s="15">
        <f>IF(Z85="",0,AVERAGE(Z$10:Z85))</f>
        <v>0</v>
      </c>
      <c r="AB85" s="15">
        <f>IF(Z84="",0,VAR(Z$10:Z85))</f>
        <v>0</v>
      </c>
      <c r="AD85" s="2"/>
      <c r="AE85" s="15" t="str">
        <f t="shared" si="50"/>
        <v/>
      </c>
      <c r="AF85" s="15">
        <f>IF(AE85="",0,AVERAGE(AE$10:AE85))</f>
        <v>0</v>
      </c>
      <c r="AG85" s="15">
        <f>IF(AE84="",0,VAR(AE$10:AE85))</f>
        <v>0</v>
      </c>
      <c r="AI85" s="2"/>
      <c r="AJ85" s="15" t="str">
        <f t="shared" si="45"/>
        <v/>
      </c>
      <c r="AK85" s="15">
        <f>IF(AJ85="",0,AVERAGE(AJ$10:AJ85))</f>
        <v>0</v>
      </c>
      <c r="AL85" s="15">
        <f>IF(AJ84="",0,VAR(AJ$10:AJ85))</f>
        <v>0</v>
      </c>
      <c r="AN85" s="2"/>
      <c r="AO85" s="15" t="str">
        <f t="shared" si="46"/>
        <v/>
      </c>
      <c r="AP85" s="15">
        <f>IF(AO85="",0,AVERAGE(AO$10:AO85))</f>
        <v>0</v>
      </c>
      <c r="AQ85" s="15">
        <f>IF(AO84="",0,VAR(AO$10:AO85))</f>
        <v>0</v>
      </c>
      <c r="AS85" s="2"/>
      <c r="AT85" s="15" t="str">
        <f t="shared" si="47"/>
        <v/>
      </c>
      <c r="AU85" s="15">
        <f>IF(AT85="",0,AVERAGE(AT$10:AT85))</f>
        <v>0</v>
      </c>
      <c r="AV85" s="15">
        <f>IF(AT84="",0,VAR(AT$10:AT85))</f>
        <v>0</v>
      </c>
      <c r="AX85" s="2"/>
      <c r="AY85" s="15" t="str">
        <f t="shared" si="48"/>
        <v/>
      </c>
      <c r="AZ85" s="15">
        <f>IF(AY85="",0,AVERAGE(AY$10:AY85))</f>
        <v>0</v>
      </c>
      <c r="BA85" s="15">
        <f>IF(AY84="",0,VAR(AY$10:AY85))</f>
        <v>0</v>
      </c>
    </row>
    <row r="86" spans="3:53" x14ac:dyDescent="0.25">
      <c r="C86" s="2"/>
      <c r="E86" s="2"/>
      <c r="F86" s="15" t="str">
        <f t="shared" si="41"/>
        <v/>
      </c>
      <c r="G86" s="15">
        <f>IF(F86="",0,AVERAGE($F$10:F86))</f>
        <v>0</v>
      </c>
      <c r="H86" s="15">
        <f>IF(F85="",0,VAR($F$10:F86))</f>
        <v>0</v>
      </c>
      <c r="J86" s="2"/>
      <c r="K86" s="15" t="str">
        <f t="shared" si="42"/>
        <v/>
      </c>
      <c r="L86" s="15">
        <f>IF(K86="",0,AVERAGE($K$10:K86))</f>
        <v>0</v>
      </c>
      <c r="M86" s="15">
        <f>IF(K85="",0,VAR($K$10:K86))</f>
        <v>0</v>
      </c>
      <c r="O86" s="2"/>
      <c r="P86" s="15" t="str">
        <f t="shared" si="43"/>
        <v/>
      </c>
      <c r="Q86" s="15">
        <f>IF(P86="",0,AVERAGE(P$10:P86))</f>
        <v>0</v>
      </c>
      <c r="R86" s="15">
        <f>IF(P85="",0,VAR(P$10:P86))</f>
        <v>0</v>
      </c>
      <c r="T86" s="2"/>
      <c r="U86" s="15" t="str">
        <f t="shared" si="49"/>
        <v/>
      </c>
      <c r="V86" s="15">
        <f>IF(U86="",0,AVERAGE(U$10:U86))</f>
        <v>0</v>
      </c>
      <c r="W86" s="15">
        <f>IF(U85="",0,VAR(U$10:U86))</f>
        <v>0</v>
      </c>
      <c r="Y86" s="2"/>
      <c r="Z86" s="15" t="str">
        <f t="shared" si="44"/>
        <v/>
      </c>
      <c r="AA86" s="15">
        <f>IF(Z86="",0,AVERAGE(Z$10:Z86))</f>
        <v>0</v>
      </c>
      <c r="AB86" s="15">
        <f>IF(Z85="",0,VAR(Z$10:Z86))</f>
        <v>0</v>
      </c>
      <c r="AD86" s="2"/>
      <c r="AE86" s="15" t="str">
        <f t="shared" si="50"/>
        <v/>
      </c>
      <c r="AF86" s="15">
        <f>IF(AE86="",0,AVERAGE(AE$10:AE86))</f>
        <v>0</v>
      </c>
      <c r="AG86" s="15">
        <f>IF(AE85="",0,VAR(AE$10:AE86))</f>
        <v>0</v>
      </c>
      <c r="AI86" s="2"/>
      <c r="AJ86" s="15" t="str">
        <f t="shared" si="45"/>
        <v/>
      </c>
      <c r="AK86" s="15">
        <f>IF(AJ86="",0,AVERAGE(AJ$10:AJ86))</f>
        <v>0</v>
      </c>
      <c r="AL86" s="15">
        <f>IF(AJ85="",0,VAR(AJ$10:AJ86))</f>
        <v>0</v>
      </c>
      <c r="AN86" s="2"/>
      <c r="AO86" s="15" t="str">
        <f t="shared" si="46"/>
        <v/>
      </c>
      <c r="AP86" s="15">
        <f>IF(AO86="",0,AVERAGE(AO$10:AO86))</f>
        <v>0</v>
      </c>
      <c r="AQ86" s="15">
        <f>IF(AO85="",0,VAR(AO$10:AO86))</f>
        <v>0</v>
      </c>
      <c r="AS86" s="2"/>
      <c r="AT86" s="15" t="str">
        <f t="shared" si="47"/>
        <v/>
      </c>
      <c r="AU86" s="15">
        <f>IF(AT86="",0,AVERAGE(AT$10:AT86))</f>
        <v>0</v>
      </c>
      <c r="AV86" s="15">
        <f>IF(AT85="",0,VAR(AT$10:AT86))</f>
        <v>0</v>
      </c>
      <c r="AX86" s="2"/>
      <c r="AY86" s="15" t="str">
        <f t="shared" si="48"/>
        <v/>
      </c>
      <c r="AZ86" s="15">
        <f>IF(AY86="",0,AVERAGE(AY$10:AY86))</f>
        <v>0</v>
      </c>
      <c r="BA86" s="15">
        <f>IF(AY85="",0,VAR(AY$10:AY86))</f>
        <v>0</v>
      </c>
    </row>
    <row r="87" spans="3:53" x14ac:dyDescent="0.25">
      <c r="C87" s="2"/>
      <c r="E87" s="2"/>
      <c r="F87" s="15"/>
      <c r="G87" s="15">
        <f>IF(F87="",0,AVERAGE($F$10:F87))</f>
        <v>0</v>
      </c>
      <c r="H87" s="15">
        <f>IF(F86="",0,VAR($F$10:F87))</f>
        <v>0</v>
      </c>
      <c r="J87" s="2"/>
      <c r="K87" s="15" t="str">
        <f t="shared" si="42"/>
        <v/>
      </c>
      <c r="L87" s="15">
        <f>IF(K87="",0,AVERAGE($K$10:K87))</f>
        <v>0</v>
      </c>
      <c r="M87" s="15">
        <f>IF(K86="",0,VAR($K$10:K87))</f>
        <v>0</v>
      </c>
      <c r="O87" s="2"/>
      <c r="P87" s="15" t="str">
        <f t="shared" si="43"/>
        <v/>
      </c>
      <c r="Q87" s="15">
        <f>IF(P87="",0,AVERAGE(P$10:P87))</f>
        <v>0</v>
      </c>
      <c r="R87" s="15">
        <f>IF(P86="",0,VAR(P$10:P87))</f>
        <v>0</v>
      </c>
      <c r="T87" s="2"/>
      <c r="U87" s="15" t="str">
        <f t="shared" si="49"/>
        <v/>
      </c>
      <c r="V87" s="15">
        <f>IF(U87="",0,AVERAGE(U$10:U87))</f>
        <v>0</v>
      </c>
      <c r="W87" s="15">
        <f>IF(U86="",0,VAR(U$10:U87))</f>
        <v>0</v>
      </c>
      <c r="Y87" s="2"/>
      <c r="Z87" s="15" t="str">
        <f t="shared" si="44"/>
        <v/>
      </c>
      <c r="AA87" s="15">
        <f>IF(Z87="",0,AVERAGE(Z$10:Z87))</f>
        <v>0</v>
      </c>
      <c r="AB87" s="15">
        <f>IF(Z86="",0,VAR(Z$10:Z87))</f>
        <v>0</v>
      </c>
      <c r="AD87" s="2"/>
      <c r="AE87" s="15" t="str">
        <f t="shared" si="50"/>
        <v/>
      </c>
      <c r="AF87" s="15">
        <f>IF(AE87="",0,AVERAGE(AE$10:AE87))</f>
        <v>0</v>
      </c>
      <c r="AG87" s="15">
        <f>IF(AE86="",0,VAR(AE$10:AE87))</f>
        <v>0</v>
      </c>
      <c r="AI87" s="2"/>
      <c r="AJ87" s="15" t="str">
        <f t="shared" si="45"/>
        <v/>
      </c>
      <c r="AK87" s="15">
        <f>IF(AJ87="",0,AVERAGE(AJ$10:AJ87))</f>
        <v>0</v>
      </c>
      <c r="AL87" s="15">
        <f>IF(AJ86="",0,VAR(AJ$10:AJ87))</f>
        <v>0</v>
      </c>
      <c r="AN87" s="2"/>
      <c r="AO87" s="15" t="str">
        <f t="shared" si="46"/>
        <v/>
      </c>
      <c r="AP87" s="15">
        <f>IF(AO87="",0,AVERAGE(AO$10:AO87))</f>
        <v>0</v>
      </c>
      <c r="AQ87" s="15">
        <f>IF(AO86="",0,VAR(AO$10:AO87))</f>
        <v>0</v>
      </c>
      <c r="AS87" s="2"/>
      <c r="AT87" s="15" t="str">
        <f t="shared" si="47"/>
        <v/>
      </c>
      <c r="AU87" s="15">
        <f>IF(AT87="",0,AVERAGE(AT$10:AT87))</f>
        <v>0</v>
      </c>
      <c r="AV87" s="15">
        <f>IF(AT86="",0,VAR(AT$10:AT87))</f>
        <v>0</v>
      </c>
      <c r="AX87" s="2"/>
      <c r="AY87" s="15" t="str">
        <f t="shared" si="48"/>
        <v/>
      </c>
      <c r="AZ87" s="15">
        <f>IF(AY87="",0,AVERAGE(AY$10:AY87))</f>
        <v>0</v>
      </c>
      <c r="BA87" s="15">
        <f>IF(AY86="",0,VAR(AY$10:AY87))</f>
        <v>0</v>
      </c>
    </row>
    <row r="88" spans="3:53" x14ac:dyDescent="0.25">
      <c r="C88" s="2"/>
      <c r="E88" s="2"/>
      <c r="F88" s="15" t="str">
        <f t="shared" ref="F88" si="54">IF(E88="","",+(E88-E87)/E87)</f>
        <v/>
      </c>
      <c r="G88" s="15">
        <f>IF(F88="",0,AVERAGE($F$10:F88))</f>
        <v>0</v>
      </c>
      <c r="H88" s="15">
        <f>IF(F87="",0,VAR($F$10:F88))</f>
        <v>0</v>
      </c>
      <c r="J88" s="2"/>
      <c r="K88" s="15" t="str">
        <f t="shared" si="42"/>
        <v/>
      </c>
      <c r="L88" s="15">
        <f>IF(K88="",0,AVERAGE($K$10:K88))</f>
        <v>0</v>
      </c>
      <c r="M88" s="15">
        <f>IF(K87="",0,VAR($K$10:K88))</f>
        <v>0</v>
      </c>
      <c r="O88" s="2"/>
      <c r="P88" s="15" t="str">
        <f t="shared" si="43"/>
        <v/>
      </c>
      <c r="Q88" s="15">
        <f>IF(P88="",0,AVERAGE(P$10:P88))</f>
        <v>0</v>
      </c>
      <c r="R88" s="15">
        <f>IF(P87="",0,VAR(P$10:P88))</f>
        <v>0</v>
      </c>
      <c r="T88" s="2"/>
      <c r="U88" s="15" t="str">
        <f t="shared" si="49"/>
        <v/>
      </c>
      <c r="V88" s="15">
        <f>IF(U88="",0,AVERAGE(U$10:U88))</f>
        <v>0</v>
      </c>
      <c r="W88" s="15">
        <f>IF(U87="",0,VAR(U$10:U88))</f>
        <v>0</v>
      </c>
      <c r="Y88" s="2"/>
      <c r="Z88" s="15" t="str">
        <f t="shared" si="44"/>
        <v/>
      </c>
      <c r="AA88" s="15">
        <f>IF(Z88="",0,AVERAGE(Z$10:Z88))</f>
        <v>0</v>
      </c>
      <c r="AB88" s="15">
        <f>IF(Z87="",0,VAR(Z$10:Z88))</f>
        <v>0</v>
      </c>
      <c r="AD88" s="2"/>
      <c r="AE88" s="15" t="str">
        <f t="shared" si="50"/>
        <v/>
      </c>
      <c r="AF88" s="15">
        <f>IF(AE88="",0,AVERAGE(AE$10:AE88))</f>
        <v>0</v>
      </c>
      <c r="AG88" s="15">
        <f>IF(AE87="",0,VAR(AE$10:AE88))</f>
        <v>0</v>
      </c>
      <c r="AI88" s="2"/>
      <c r="AJ88" s="15" t="str">
        <f t="shared" si="45"/>
        <v/>
      </c>
      <c r="AK88" s="15">
        <f>IF(AJ88="",0,AVERAGE(AJ$10:AJ88))</f>
        <v>0</v>
      </c>
      <c r="AL88" s="15">
        <f>IF(AJ87="",0,VAR(AJ$10:AJ88))</f>
        <v>0</v>
      </c>
      <c r="AN88" s="2"/>
      <c r="AO88" s="15" t="str">
        <f t="shared" si="46"/>
        <v/>
      </c>
      <c r="AP88" s="15">
        <f>IF(AO88="",0,AVERAGE(AO$10:AO88))</f>
        <v>0</v>
      </c>
      <c r="AQ88" s="15">
        <f>IF(AO87="",0,VAR(AO$10:AO88))</f>
        <v>0</v>
      </c>
      <c r="AS88" s="2"/>
      <c r="AT88" s="15" t="str">
        <f t="shared" si="47"/>
        <v/>
      </c>
      <c r="AU88" s="15">
        <f>IF(AT88="",0,AVERAGE(AT$10:AT88))</f>
        <v>0</v>
      </c>
      <c r="AV88" s="15">
        <f>IF(AT87="",0,VAR(AT$10:AT88))</f>
        <v>0</v>
      </c>
      <c r="AX88" s="2"/>
      <c r="AY88" s="15" t="str">
        <f t="shared" si="48"/>
        <v/>
      </c>
      <c r="AZ88" s="15">
        <f>IF(AY88="",0,AVERAGE(AY$10:AY88))</f>
        <v>0</v>
      </c>
      <c r="BA88" s="15">
        <f>IF(AY87="",0,VAR(AY$10:AY88))</f>
        <v>0</v>
      </c>
    </row>
    <row r="89" spans="3:53" x14ac:dyDescent="0.25">
      <c r="C89" s="2"/>
      <c r="E89" s="2"/>
      <c r="F89" s="15" t="str">
        <f t="shared" si="41"/>
        <v/>
      </c>
      <c r="G89" s="15">
        <f>IF(F89="",0,AVERAGE($F$10:F89))</f>
        <v>0</v>
      </c>
      <c r="H89" s="15">
        <f>IF(F88="",0,VAR($F$10:F89))</f>
        <v>0</v>
      </c>
      <c r="J89" s="2"/>
      <c r="K89" s="15" t="str">
        <f t="shared" si="42"/>
        <v/>
      </c>
      <c r="L89" s="15">
        <f>IF(K89="",0,AVERAGE($K$10:K89))</f>
        <v>0</v>
      </c>
      <c r="M89" s="15">
        <f>IF(K88="",0,VAR($K$10:K89))</f>
        <v>0</v>
      </c>
      <c r="O89" s="2"/>
      <c r="P89" s="15" t="str">
        <f t="shared" si="43"/>
        <v/>
      </c>
      <c r="Q89" s="15">
        <f>IF(P89="",0,AVERAGE(P$10:P89))</f>
        <v>0</v>
      </c>
      <c r="R89" s="15">
        <f>IF(P88="",0,VAR(P$10:P89))</f>
        <v>0</v>
      </c>
      <c r="T89" s="2"/>
      <c r="U89" s="15" t="str">
        <f t="shared" si="49"/>
        <v/>
      </c>
      <c r="V89" s="15">
        <f>IF(U89="",0,AVERAGE(U$10:U89))</f>
        <v>0</v>
      </c>
      <c r="W89" s="15">
        <f>IF(U88="",0,VAR(U$10:U89))</f>
        <v>0</v>
      </c>
      <c r="Y89" s="2"/>
      <c r="Z89" s="15" t="str">
        <f t="shared" si="44"/>
        <v/>
      </c>
      <c r="AA89" s="15">
        <f>IF(Z89="",0,AVERAGE(Z$10:Z89))</f>
        <v>0</v>
      </c>
      <c r="AB89" s="15">
        <f>IF(Z88="",0,VAR(Z$10:Z89))</f>
        <v>0</v>
      </c>
      <c r="AD89" s="2"/>
      <c r="AE89" s="15" t="str">
        <f t="shared" si="50"/>
        <v/>
      </c>
      <c r="AF89" s="15">
        <f>IF(AE89="",0,AVERAGE(AE$10:AE89))</f>
        <v>0</v>
      </c>
      <c r="AG89" s="15">
        <f>IF(AE88="",0,VAR(AE$10:AE89))</f>
        <v>0</v>
      </c>
      <c r="AI89" s="2"/>
      <c r="AJ89" s="15" t="str">
        <f t="shared" si="45"/>
        <v/>
      </c>
      <c r="AK89" s="15">
        <f>IF(AJ89="",0,AVERAGE(AJ$10:AJ89))</f>
        <v>0</v>
      </c>
      <c r="AL89" s="15">
        <f>IF(AJ88="",0,VAR(AJ$10:AJ89))</f>
        <v>0</v>
      </c>
      <c r="AN89" s="2"/>
      <c r="AO89" s="15" t="str">
        <f t="shared" si="46"/>
        <v/>
      </c>
      <c r="AP89" s="15">
        <f>IF(AO89="",0,AVERAGE(AO$10:AO89))</f>
        <v>0</v>
      </c>
      <c r="AQ89" s="15">
        <f>IF(AO88="",0,VAR(AO$10:AO89))</f>
        <v>0</v>
      </c>
      <c r="AS89" s="2"/>
      <c r="AT89" s="15" t="str">
        <f t="shared" si="47"/>
        <v/>
      </c>
      <c r="AU89" s="15">
        <f>IF(AT89="",0,AVERAGE(AT$10:AT89))</f>
        <v>0</v>
      </c>
      <c r="AV89" s="15">
        <f>IF(AT88="",0,VAR(AT$10:AT89))</f>
        <v>0</v>
      </c>
      <c r="AX89" s="2"/>
      <c r="AY89" s="15" t="str">
        <f t="shared" si="48"/>
        <v/>
      </c>
      <c r="AZ89" s="15">
        <f>IF(AY89="",0,AVERAGE(AY$10:AY89))</f>
        <v>0</v>
      </c>
      <c r="BA89" s="15">
        <f>IF(AY88="",0,VAR(AY$10:AY89))</f>
        <v>0</v>
      </c>
    </row>
    <row r="90" spans="3:53" x14ac:dyDescent="0.25">
      <c r="C90" s="2"/>
      <c r="E90" s="2"/>
      <c r="F90" s="15"/>
      <c r="G90" s="15">
        <f>IF(F90="",0,AVERAGE($F$10:F90))</f>
        <v>0</v>
      </c>
      <c r="H90" s="15">
        <f>IF(F89="",0,VAR($F$10:F90))</f>
        <v>0</v>
      </c>
      <c r="J90" s="2"/>
      <c r="K90" s="15" t="str">
        <f t="shared" si="42"/>
        <v/>
      </c>
      <c r="L90" s="15">
        <f>IF(K90="",0,AVERAGE($K$10:K90))</f>
        <v>0</v>
      </c>
      <c r="M90" s="15">
        <f>IF(K89="",0,VAR($K$10:K90))</f>
        <v>0</v>
      </c>
      <c r="O90" s="2"/>
      <c r="P90" s="15" t="str">
        <f t="shared" si="43"/>
        <v/>
      </c>
      <c r="Q90" s="15">
        <f>IF(P90="",0,AVERAGE(P$10:P90))</f>
        <v>0</v>
      </c>
      <c r="R90" s="15">
        <f>IF(P89="",0,VAR(P$10:P90))</f>
        <v>0</v>
      </c>
      <c r="T90" s="2"/>
      <c r="U90" s="15" t="str">
        <f t="shared" si="49"/>
        <v/>
      </c>
      <c r="V90" s="15">
        <f>IF(U90="",0,AVERAGE(U$10:U90))</f>
        <v>0</v>
      </c>
      <c r="W90" s="15">
        <f>IF(U89="",0,VAR(U$10:U90))</f>
        <v>0</v>
      </c>
      <c r="Y90" s="2"/>
      <c r="Z90" s="15" t="str">
        <f t="shared" si="44"/>
        <v/>
      </c>
      <c r="AA90" s="15">
        <f>IF(Z90="",0,AVERAGE(Z$10:Z90))</f>
        <v>0</v>
      </c>
      <c r="AB90" s="15">
        <f>IF(Z89="",0,VAR(Z$10:Z90))</f>
        <v>0</v>
      </c>
      <c r="AD90" s="2"/>
      <c r="AE90" s="15" t="str">
        <f t="shared" si="50"/>
        <v/>
      </c>
      <c r="AF90" s="15">
        <f>IF(AE90="",0,AVERAGE(AE$10:AE90))</f>
        <v>0</v>
      </c>
      <c r="AG90" s="15">
        <f>IF(AE89="",0,VAR(AE$10:AE90))</f>
        <v>0</v>
      </c>
      <c r="AI90" s="2"/>
      <c r="AJ90" s="15" t="str">
        <f t="shared" si="45"/>
        <v/>
      </c>
      <c r="AK90" s="15">
        <f>IF(AJ90="",0,AVERAGE(AJ$10:AJ90))</f>
        <v>0</v>
      </c>
      <c r="AL90" s="15">
        <f>IF(AJ89="",0,VAR(AJ$10:AJ90))</f>
        <v>0</v>
      </c>
      <c r="AN90" s="2"/>
      <c r="AO90" s="15" t="str">
        <f t="shared" si="46"/>
        <v/>
      </c>
      <c r="AP90" s="15">
        <f>IF(AO90="",0,AVERAGE(AO$10:AO90))</f>
        <v>0</v>
      </c>
      <c r="AQ90" s="15">
        <f>IF(AO89="",0,VAR(AO$10:AO90))</f>
        <v>0</v>
      </c>
      <c r="AS90" s="2"/>
      <c r="AT90" s="15" t="str">
        <f t="shared" si="47"/>
        <v/>
      </c>
      <c r="AU90" s="15">
        <f>IF(AT90="",0,AVERAGE(AT$10:AT90))</f>
        <v>0</v>
      </c>
      <c r="AV90" s="15">
        <f>IF(AT89="",0,VAR(AT$10:AT90))</f>
        <v>0</v>
      </c>
      <c r="AX90" s="2"/>
      <c r="AY90" s="15" t="str">
        <f t="shared" si="48"/>
        <v/>
      </c>
      <c r="AZ90" s="15">
        <f>IF(AY90="",0,AVERAGE(AY$10:AY90))</f>
        <v>0</v>
      </c>
      <c r="BA90" s="15">
        <f>IF(AY89="",0,VAR(AY$10:AY90))</f>
        <v>0</v>
      </c>
    </row>
    <row r="91" spans="3:53" x14ac:dyDescent="0.25">
      <c r="C91" s="2"/>
      <c r="E91" s="2"/>
      <c r="F91" s="15" t="str">
        <f t="shared" ref="F91" si="55">IF(E91="","",+(E91-E90)/E90)</f>
        <v/>
      </c>
      <c r="G91" s="15">
        <f>IF(F91="",0,AVERAGE($F$10:F91))</f>
        <v>0</v>
      </c>
      <c r="H91" s="15">
        <f>IF(F90="",0,VAR($F$10:F91))</f>
        <v>0</v>
      </c>
      <c r="J91" s="2"/>
      <c r="K91" s="15" t="str">
        <f t="shared" si="42"/>
        <v/>
      </c>
      <c r="L91" s="15">
        <f>IF(K91="",0,AVERAGE($K$10:K91))</f>
        <v>0</v>
      </c>
      <c r="M91" s="15">
        <f>IF(K90="",0,VAR($K$10:K91))</f>
        <v>0</v>
      </c>
      <c r="O91" s="2"/>
      <c r="P91" s="15" t="str">
        <f t="shared" si="43"/>
        <v/>
      </c>
      <c r="Q91" s="15">
        <f>IF(P91="",0,AVERAGE(P$10:P91))</f>
        <v>0</v>
      </c>
      <c r="R91" s="15">
        <f>IF(P90="",0,VAR(P$10:P91))</f>
        <v>0</v>
      </c>
      <c r="T91" s="2"/>
      <c r="U91" s="15" t="str">
        <f t="shared" si="49"/>
        <v/>
      </c>
      <c r="V91" s="15">
        <f>IF(U91="",0,AVERAGE(U$10:U91))</f>
        <v>0</v>
      </c>
      <c r="W91" s="15">
        <f>IF(U90="",0,VAR(U$10:U91))</f>
        <v>0</v>
      </c>
      <c r="Y91" s="2"/>
      <c r="Z91" s="15" t="str">
        <f t="shared" si="44"/>
        <v/>
      </c>
      <c r="AA91" s="15">
        <f>IF(Z91="",0,AVERAGE(Z$10:Z91))</f>
        <v>0</v>
      </c>
      <c r="AB91" s="15">
        <f>IF(Z90="",0,VAR(Z$10:Z91))</f>
        <v>0</v>
      </c>
      <c r="AD91" s="2"/>
      <c r="AE91" s="15" t="str">
        <f t="shared" si="50"/>
        <v/>
      </c>
      <c r="AF91" s="15">
        <f>IF(AE91="",0,AVERAGE(AE$10:AE91))</f>
        <v>0</v>
      </c>
      <c r="AG91" s="15">
        <f>IF(AE90="",0,VAR(AE$10:AE91))</f>
        <v>0</v>
      </c>
      <c r="AI91" s="2"/>
      <c r="AJ91" s="15" t="str">
        <f t="shared" si="45"/>
        <v/>
      </c>
      <c r="AK91" s="15">
        <f>IF(AJ91="",0,AVERAGE(AJ$10:AJ91))</f>
        <v>0</v>
      </c>
      <c r="AL91" s="15">
        <f>IF(AJ90="",0,VAR(AJ$10:AJ91))</f>
        <v>0</v>
      </c>
      <c r="AN91" s="2"/>
      <c r="AO91" s="15" t="str">
        <f t="shared" si="46"/>
        <v/>
      </c>
      <c r="AP91" s="15">
        <f>IF(AO91="",0,AVERAGE(AO$10:AO91))</f>
        <v>0</v>
      </c>
      <c r="AQ91" s="15">
        <f>IF(AO90="",0,VAR(AO$10:AO91))</f>
        <v>0</v>
      </c>
      <c r="AS91" s="2"/>
      <c r="AT91" s="15" t="str">
        <f t="shared" si="47"/>
        <v/>
      </c>
      <c r="AU91" s="15">
        <f>IF(AT91="",0,AVERAGE(AT$10:AT91))</f>
        <v>0</v>
      </c>
      <c r="AV91" s="15">
        <f>IF(AT90="",0,VAR(AT$10:AT91))</f>
        <v>0</v>
      </c>
      <c r="AX91" s="2"/>
      <c r="AY91" s="15" t="str">
        <f t="shared" si="48"/>
        <v/>
      </c>
      <c r="AZ91" s="15">
        <f>IF(AY91="",0,AVERAGE(AY$10:AY91))</f>
        <v>0</v>
      </c>
      <c r="BA91" s="15">
        <f>IF(AY90="",0,VAR(AY$10:AY91))</f>
        <v>0</v>
      </c>
    </row>
    <row r="92" spans="3:53" x14ac:dyDescent="0.25">
      <c r="C92" s="2"/>
      <c r="E92" s="2"/>
      <c r="F92" s="15" t="str">
        <f t="shared" si="41"/>
        <v/>
      </c>
      <c r="G92" s="15">
        <f>IF(F92="",0,AVERAGE($F$10:F92))</f>
        <v>0</v>
      </c>
      <c r="H92" s="15">
        <f>IF(F91="",0,VAR($F$10:F92))</f>
        <v>0</v>
      </c>
      <c r="J92" s="2"/>
      <c r="K92" s="15" t="str">
        <f t="shared" si="42"/>
        <v/>
      </c>
      <c r="L92" s="15">
        <f>IF(K92="",0,AVERAGE($K$10:K92))</f>
        <v>0</v>
      </c>
      <c r="M92" s="15">
        <f>IF(K91="",0,VAR($K$10:K92))</f>
        <v>0</v>
      </c>
      <c r="O92" s="2"/>
      <c r="P92" s="15" t="str">
        <f t="shared" si="43"/>
        <v/>
      </c>
      <c r="Q92" s="15">
        <f>IF(P92="",0,AVERAGE(P$10:P92))</f>
        <v>0</v>
      </c>
      <c r="R92" s="15">
        <f>IF(P91="",0,VAR(P$10:P92))</f>
        <v>0</v>
      </c>
      <c r="T92" s="2"/>
      <c r="U92" s="15" t="str">
        <f t="shared" si="49"/>
        <v/>
      </c>
      <c r="V92" s="15">
        <f>IF(U92="",0,AVERAGE(U$10:U92))</f>
        <v>0</v>
      </c>
      <c r="W92" s="15">
        <f>IF(U91="",0,VAR(U$10:U92))</f>
        <v>0</v>
      </c>
      <c r="Y92" s="2"/>
      <c r="Z92" s="15" t="str">
        <f t="shared" si="44"/>
        <v/>
      </c>
      <c r="AA92" s="15">
        <f>IF(Z92="",0,AVERAGE(Z$10:Z92))</f>
        <v>0</v>
      </c>
      <c r="AB92" s="15">
        <f>IF(Z91="",0,VAR(Z$10:Z92))</f>
        <v>0</v>
      </c>
      <c r="AD92" s="2"/>
      <c r="AE92" s="15" t="str">
        <f t="shared" si="50"/>
        <v/>
      </c>
      <c r="AF92" s="15">
        <f>IF(AE92="",0,AVERAGE(AE$10:AE92))</f>
        <v>0</v>
      </c>
      <c r="AG92" s="15">
        <f>IF(AE91="",0,VAR(AE$10:AE92))</f>
        <v>0</v>
      </c>
      <c r="AI92" s="2"/>
      <c r="AJ92" s="15" t="str">
        <f t="shared" si="45"/>
        <v/>
      </c>
      <c r="AK92" s="15">
        <f>IF(AJ92="",0,AVERAGE(AJ$10:AJ92))</f>
        <v>0</v>
      </c>
      <c r="AL92" s="15">
        <f>IF(AJ91="",0,VAR(AJ$10:AJ92))</f>
        <v>0</v>
      </c>
      <c r="AN92" s="2"/>
      <c r="AO92" s="15" t="str">
        <f t="shared" si="46"/>
        <v/>
      </c>
      <c r="AP92" s="15">
        <f>IF(AO92="",0,AVERAGE(AO$10:AO92))</f>
        <v>0</v>
      </c>
      <c r="AQ92" s="15">
        <f>IF(AO91="",0,VAR(AO$10:AO92))</f>
        <v>0</v>
      </c>
      <c r="AS92" s="2"/>
      <c r="AT92" s="15" t="str">
        <f t="shared" si="47"/>
        <v/>
      </c>
      <c r="AU92" s="15">
        <f>IF(AT92="",0,AVERAGE(AT$10:AT92))</f>
        <v>0</v>
      </c>
      <c r="AV92" s="15">
        <f>IF(AT91="",0,VAR(AT$10:AT92))</f>
        <v>0</v>
      </c>
      <c r="AX92" s="2"/>
      <c r="AY92" s="15" t="str">
        <f t="shared" si="48"/>
        <v/>
      </c>
      <c r="AZ92" s="15">
        <f>IF(AY92="",0,AVERAGE(AY$10:AY92))</f>
        <v>0</v>
      </c>
      <c r="BA92" s="15">
        <f>IF(AY91="",0,VAR(AY$10:AY92))</f>
        <v>0</v>
      </c>
    </row>
    <row r="93" spans="3:53" x14ac:dyDescent="0.25">
      <c r="C93" s="2"/>
      <c r="E93" s="2"/>
      <c r="F93" s="15"/>
      <c r="G93" s="15">
        <f>IF(F93="",0,AVERAGE($F$10:F93))</f>
        <v>0</v>
      </c>
      <c r="H93" s="15">
        <f>IF(F92="",0,VAR($F$10:F93))</f>
        <v>0</v>
      </c>
      <c r="J93" s="2"/>
      <c r="K93" s="15" t="str">
        <f t="shared" si="42"/>
        <v/>
      </c>
      <c r="L93" s="15">
        <f>IF(K93="",0,AVERAGE($K$10:K93))</f>
        <v>0</v>
      </c>
      <c r="M93" s="15">
        <f>IF(K92="",0,VAR($K$10:K93))</f>
        <v>0</v>
      </c>
      <c r="O93" s="2"/>
      <c r="P93" s="15" t="str">
        <f t="shared" si="43"/>
        <v/>
      </c>
      <c r="Q93" s="15">
        <f>IF(P93="",0,AVERAGE(P$10:P93))</f>
        <v>0</v>
      </c>
      <c r="R93" s="15">
        <f>IF(P92="",0,VAR(P$10:P93))</f>
        <v>0</v>
      </c>
      <c r="T93" s="2"/>
      <c r="U93" s="15" t="str">
        <f t="shared" si="49"/>
        <v/>
      </c>
      <c r="V93" s="15">
        <f>IF(U93="",0,AVERAGE(U$10:U93))</f>
        <v>0</v>
      </c>
      <c r="W93" s="15">
        <f>IF(U92="",0,VAR(U$10:U93))</f>
        <v>0</v>
      </c>
      <c r="Y93" s="2"/>
      <c r="Z93" s="15" t="str">
        <f t="shared" si="44"/>
        <v/>
      </c>
      <c r="AA93" s="15">
        <f>IF(Z93="",0,AVERAGE(Z$10:Z93))</f>
        <v>0</v>
      </c>
      <c r="AB93" s="15">
        <f>IF(Z92="",0,VAR(Z$10:Z93))</f>
        <v>0</v>
      </c>
      <c r="AD93" s="2"/>
      <c r="AE93" s="15" t="str">
        <f t="shared" si="50"/>
        <v/>
      </c>
      <c r="AF93" s="15">
        <f>IF(AE93="",0,AVERAGE(AE$10:AE93))</f>
        <v>0</v>
      </c>
      <c r="AG93" s="15">
        <f>IF(AE92="",0,VAR(AE$10:AE93))</f>
        <v>0</v>
      </c>
      <c r="AI93" s="2"/>
      <c r="AJ93" s="15" t="str">
        <f t="shared" si="45"/>
        <v/>
      </c>
      <c r="AK93" s="15">
        <f>IF(AJ93="",0,AVERAGE(AJ$10:AJ93))</f>
        <v>0</v>
      </c>
      <c r="AL93" s="15">
        <f>IF(AJ92="",0,VAR(AJ$10:AJ93))</f>
        <v>0</v>
      </c>
      <c r="AN93" s="2"/>
      <c r="AO93" s="15" t="str">
        <f t="shared" si="46"/>
        <v/>
      </c>
      <c r="AP93" s="15">
        <f>IF(AO93="",0,AVERAGE(AO$10:AO93))</f>
        <v>0</v>
      </c>
      <c r="AQ93" s="15">
        <f>IF(AO92="",0,VAR(AO$10:AO93))</f>
        <v>0</v>
      </c>
      <c r="AS93" s="2"/>
      <c r="AT93" s="15" t="str">
        <f t="shared" si="47"/>
        <v/>
      </c>
      <c r="AU93" s="15">
        <f>IF(AT93="",0,AVERAGE(AT$10:AT93))</f>
        <v>0</v>
      </c>
      <c r="AV93" s="15">
        <f>IF(AT92="",0,VAR(AT$10:AT93))</f>
        <v>0</v>
      </c>
      <c r="AX93" s="2"/>
      <c r="AY93" s="15" t="str">
        <f t="shared" si="48"/>
        <v/>
      </c>
      <c r="AZ93" s="15">
        <f>IF(AY93="",0,AVERAGE(AY$10:AY93))</f>
        <v>0</v>
      </c>
      <c r="BA93" s="15">
        <f>IF(AY92="",0,VAR(AY$10:AY93))</f>
        <v>0</v>
      </c>
    </row>
    <row r="94" spans="3:53" x14ac:dyDescent="0.25">
      <c r="C94" s="2"/>
      <c r="E94" s="2"/>
      <c r="F94" s="15" t="str">
        <f t="shared" ref="F94" si="56">IF(E94="","",+(E94-E93)/E93)</f>
        <v/>
      </c>
      <c r="G94" s="15">
        <f>IF(F94="",0,AVERAGE($F$10:F94))</f>
        <v>0</v>
      </c>
      <c r="H94" s="15">
        <f>IF(F93="",0,VAR($F$10:F94))</f>
        <v>0</v>
      </c>
      <c r="J94" s="2"/>
      <c r="K94" s="15" t="str">
        <f t="shared" si="42"/>
        <v/>
      </c>
      <c r="L94" s="15">
        <f>IF(K94="",0,AVERAGE($K$10:K94))</f>
        <v>0</v>
      </c>
      <c r="M94" s="15">
        <f>IF(K93="",0,VAR($K$10:K94))</f>
        <v>0</v>
      </c>
      <c r="O94" s="2"/>
      <c r="P94" s="15" t="str">
        <f t="shared" si="43"/>
        <v/>
      </c>
      <c r="Q94" s="15">
        <f>IF(P94="",0,AVERAGE(P$10:P94))</f>
        <v>0</v>
      </c>
      <c r="R94" s="15">
        <f>IF(P93="",0,VAR(P$10:P94))</f>
        <v>0</v>
      </c>
      <c r="T94" s="2"/>
      <c r="U94" s="15" t="str">
        <f t="shared" si="49"/>
        <v/>
      </c>
      <c r="V94" s="15">
        <f>IF(U94="",0,AVERAGE(U$10:U94))</f>
        <v>0</v>
      </c>
      <c r="W94" s="15">
        <f>IF(U93="",0,VAR(U$10:U94))</f>
        <v>0</v>
      </c>
      <c r="Y94" s="2"/>
      <c r="Z94" s="15" t="str">
        <f t="shared" si="44"/>
        <v/>
      </c>
      <c r="AA94" s="15">
        <f>IF(Z94="",0,AVERAGE(Z$10:Z94))</f>
        <v>0</v>
      </c>
      <c r="AB94" s="15">
        <f>IF(Z93="",0,VAR(Z$10:Z94))</f>
        <v>0</v>
      </c>
      <c r="AD94" s="2"/>
      <c r="AE94" s="15" t="str">
        <f t="shared" si="50"/>
        <v/>
      </c>
      <c r="AF94" s="15">
        <f>IF(AE94="",0,AVERAGE(AE$10:AE94))</f>
        <v>0</v>
      </c>
      <c r="AG94" s="15">
        <f>IF(AE93="",0,VAR(AE$10:AE94))</f>
        <v>0</v>
      </c>
      <c r="AI94" s="2"/>
      <c r="AJ94" s="15" t="str">
        <f t="shared" si="45"/>
        <v/>
      </c>
      <c r="AK94" s="15">
        <f>IF(AJ94="",0,AVERAGE(AJ$10:AJ94))</f>
        <v>0</v>
      </c>
      <c r="AL94" s="15">
        <f>IF(AJ93="",0,VAR(AJ$10:AJ94))</f>
        <v>0</v>
      </c>
      <c r="AN94" s="2"/>
      <c r="AO94" s="15" t="str">
        <f t="shared" si="46"/>
        <v/>
      </c>
      <c r="AP94" s="15">
        <f>IF(AO94="",0,AVERAGE(AO$10:AO94))</f>
        <v>0</v>
      </c>
      <c r="AQ94" s="15">
        <f>IF(AO93="",0,VAR(AO$10:AO94))</f>
        <v>0</v>
      </c>
      <c r="AS94" s="2"/>
      <c r="AT94" s="15" t="str">
        <f t="shared" si="47"/>
        <v/>
      </c>
      <c r="AU94" s="15">
        <f>IF(AT94="",0,AVERAGE(AT$10:AT94))</f>
        <v>0</v>
      </c>
      <c r="AV94" s="15">
        <f>IF(AT93="",0,VAR(AT$10:AT94))</f>
        <v>0</v>
      </c>
      <c r="AX94" s="2"/>
      <c r="AY94" s="15" t="str">
        <f t="shared" si="48"/>
        <v/>
      </c>
      <c r="AZ94" s="15">
        <f>IF(AY94="",0,AVERAGE(AY$10:AY94))</f>
        <v>0</v>
      </c>
      <c r="BA94" s="15">
        <f>IF(AY93="",0,VAR(AY$10:AY94))</f>
        <v>0</v>
      </c>
    </row>
    <row r="95" spans="3:53" x14ac:dyDescent="0.25">
      <c r="C95" s="2"/>
      <c r="E95" s="2"/>
      <c r="F95" s="15" t="str">
        <f t="shared" si="41"/>
        <v/>
      </c>
      <c r="G95" s="15">
        <f>IF(F95="",0,AVERAGE($F$10:F95))</f>
        <v>0</v>
      </c>
      <c r="H95" s="15">
        <f>IF(F94="",0,VAR($F$10:F95))</f>
        <v>0</v>
      </c>
      <c r="J95" s="2"/>
      <c r="K95" s="15" t="str">
        <f t="shared" si="42"/>
        <v/>
      </c>
      <c r="L95" s="15">
        <f>IF(K95="",0,AVERAGE($K$10:K95))</f>
        <v>0</v>
      </c>
      <c r="M95" s="15">
        <f>IF(K94="",0,VAR($K$10:K95))</f>
        <v>0</v>
      </c>
      <c r="O95" s="2"/>
      <c r="P95" s="15" t="str">
        <f t="shared" si="43"/>
        <v/>
      </c>
      <c r="Q95" s="15">
        <f>IF(P95="",0,AVERAGE(P$10:P95))</f>
        <v>0</v>
      </c>
      <c r="R95" s="15">
        <f>IF(P94="",0,VAR(P$10:P95))</f>
        <v>0</v>
      </c>
      <c r="T95" s="2"/>
      <c r="U95" s="15" t="str">
        <f t="shared" si="49"/>
        <v/>
      </c>
      <c r="V95" s="15">
        <f>IF(U95="",0,AVERAGE(U$10:U95))</f>
        <v>0</v>
      </c>
      <c r="W95" s="15">
        <f>IF(U94="",0,VAR(U$10:U95))</f>
        <v>0</v>
      </c>
      <c r="Y95" s="2"/>
      <c r="Z95" s="15" t="str">
        <f t="shared" si="44"/>
        <v/>
      </c>
      <c r="AA95" s="15">
        <f>IF(Z95="",0,AVERAGE(Z$10:Z95))</f>
        <v>0</v>
      </c>
      <c r="AB95" s="15">
        <f>IF(Z94="",0,VAR(Z$10:Z95))</f>
        <v>0</v>
      </c>
      <c r="AD95" s="2"/>
      <c r="AE95" s="15" t="str">
        <f t="shared" si="50"/>
        <v/>
      </c>
      <c r="AF95" s="15">
        <f>IF(AE95="",0,AVERAGE(AE$10:AE95))</f>
        <v>0</v>
      </c>
      <c r="AG95" s="15">
        <f>IF(AE94="",0,VAR(AE$10:AE95))</f>
        <v>0</v>
      </c>
      <c r="AI95" s="2"/>
      <c r="AJ95" s="15" t="str">
        <f t="shared" si="45"/>
        <v/>
      </c>
      <c r="AK95" s="15">
        <f>IF(AJ95="",0,AVERAGE(AJ$10:AJ95))</f>
        <v>0</v>
      </c>
      <c r="AL95" s="15">
        <f>IF(AJ94="",0,VAR(AJ$10:AJ95))</f>
        <v>0</v>
      </c>
      <c r="AN95" s="2"/>
      <c r="AO95" s="15" t="str">
        <f t="shared" si="46"/>
        <v/>
      </c>
      <c r="AP95" s="15">
        <f>IF(AO95="",0,AVERAGE(AO$10:AO95))</f>
        <v>0</v>
      </c>
      <c r="AQ95" s="15">
        <f>IF(AO94="",0,VAR(AO$10:AO95))</f>
        <v>0</v>
      </c>
      <c r="AS95" s="2"/>
      <c r="AT95" s="15" t="str">
        <f t="shared" si="47"/>
        <v/>
      </c>
      <c r="AU95" s="15">
        <f>IF(AT95="",0,AVERAGE(AT$10:AT95))</f>
        <v>0</v>
      </c>
      <c r="AV95" s="15">
        <f>IF(AT94="",0,VAR(AT$10:AT95))</f>
        <v>0</v>
      </c>
      <c r="AX95" s="2"/>
      <c r="AY95" s="15" t="str">
        <f t="shared" si="48"/>
        <v/>
      </c>
      <c r="AZ95" s="15">
        <f>IF(AY95="",0,AVERAGE(AY$10:AY95))</f>
        <v>0</v>
      </c>
      <c r="BA95" s="15">
        <f>IF(AY94="",0,VAR(AY$10:AY95))</f>
        <v>0</v>
      </c>
    </row>
    <row r="96" spans="3:53" x14ac:dyDescent="0.25">
      <c r="C96" s="2"/>
      <c r="E96" s="2"/>
      <c r="F96" s="15"/>
      <c r="G96" s="15">
        <f>IF(F96="",0,AVERAGE($F$10:F96))</f>
        <v>0</v>
      </c>
      <c r="H96" s="15">
        <f>IF(F95="",0,VAR($F$10:F96))</f>
        <v>0</v>
      </c>
      <c r="J96" s="2"/>
      <c r="K96" s="15" t="str">
        <f t="shared" si="42"/>
        <v/>
      </c>
      <c r="L96" s="15">
        <f>IF(K96="",0,AVERAGE($K$10:K96))</f>
        <v>0</v>
      </c>
      <c r="M96" s="15">
        <f>IF(K95="",0,VAR($K$10:K96))</f>
        <v>0</v>
      </c>
      <c r="O96" s="2"/>
      <c r="P96" s="15" t="str">
        <f t="shared" si="43"/>
        <v/>
      </c>
      <c r="Q96" s="15">
        <f>IF(P96="",0,AVERAGE(P$10:P96))</f>
        <v>0</v>
      </c>
      <c r="R96" s="15">
        <f>IF(P95="",0,VAR(P$10:P96))</f>
        <v>0</v>
      </c>
      <c r="T96" s="2"/>
      <c r="U96" s="15" t="str">
        <f t="shared" si="49"/>
        <v/>
      </c>
      <c r="V96" s="15">
        <f>IF(U96="",0,AVERAGE(U$10:U96))</f>
        <v>0</v>
      </c>
      <c r="W96" s="15">
        <f>IF(U95="",0,VAR(U$10:U96))</f>
        <v>0</v>
      </c>
      <c r="Y96" s="2"/>
      <c r="Z96" s="15" t="str">
        <f t="shared" si="44"/>
        <v/>
      </c>
      <c r="AA96" s="15">
        <f>IF(Z96="",0,AVERAGE(Z$10:Z96))</f>
        <v>0</v>
      </c>
      <c r="AB96" s="15">
        <f>IF(Z95="",0,VAR(Z$10:Z96))</f>
        <v>0</v>
      </c>
      <c r="AD96" s="2"/>
      <c r="AE96" s="15" t="str">
        <f t="shared" si="50"/>
        <v/>
      </c>
      <c r="AF96" s="15">
        <f>IF(AE96="",0,AVERAGE(AE$10:AE96))</f>
        <v>0</v>
      </c>
      <c r="AG96" s="15">
        <f>IF(AE95="",0,VAR(AE$10:AE96))</f>
        <v>0</v>
      </c>
      <c r="AI96" s="2"/>
      <c r="AJ96" s="15" t="str">
        <f t="shared" si="45"/>
        <v/>
      </c>
      <c r="AK96" s="15">
        <f>IF(AJ96="",0,AVERAGE(AJ$10:AJ96))</f>
        <v>0</v>
      </c>
      <c r="AL96" s="15">
        <f>IF(AJ95="",0,VAR(AJ$10:AJ96))</f>
        <v>0</v>
      </c>
      <c r="AN96" s="2"/>
      <c r="AO96" s="15" t="str">
        <f t="shared" si="46"/>
        <v/>
      </c>
      <c r="AP96" s="15">
        <f>IF(AO96="",0,AVERAGE(AO$10:AO96))</f>
        <v>0</v>
      </c>
      <c r="AQ96" s="15">
        <f>IF(AO95="",0,VAR(AO$10:AO96))</f>
        <v>0</v>
      </c>
      <c r="AS96" s="2"/>
      <c r="AT96" s="15" t="str">
        <f t="shared" si="47"/>
        <v/>
      </c>
      <c r="AU96" s="15">
        <f>IF(AT96="",0,AVERAGE(AT$10:AT96))</f>
        <v>0</v>
      </c>
      <c r="AV96" s="15">
        <f>IF(AT95="",0,VAR(AT$10:AT96))</f>
        <v>0</v>
      </c>
      <c r="AX96" s="2"/>
      <c r="AY96" s="15" t="str">
        <f t="shared" si="48"/>
        <v/>
      </c>
      <c r="AZ96" s="15">
        <f>IF(AY96="",0,AVERAGE(AY$10:AY96))</f>
        <v>0</v>
      </c>
      <c r="BA96" s="15">
        <f>IF(AY95="",0,VAR(AY$10:AY96))</f>
        <v>0</v>
      </c>
    </row>
    <row r="97" spans="3:53" x14ac:dyDescent="0.25">
      <c r="C97" s="2"/>
      <c r="E97" s="2"/>
      <c r="F97" s="15" t="str">
        <f t="shared" ref="F97" si="57">IF(E97="","",+(E97-E96)/E96)</f>
        <v/>
      </c>
      <c r="G97" s="15">
        <f>IF(F97="",0,AVERAGE($F$10:F97))</f>
        <v>0</v>
      </c>
      <c r="H97" s="15">
        <f>IF(F96="",0,VAR($F$10:F97))</f>
        <v>0</v>
      </c>
      <c r="J97" s="2"/>
      <c r="K97" s="15" t="str">
        <f t="shared" si="42"/>
        <v/>
      </c>
      <c r="L97" s="15">
        <f>IF(K97="",0,AVERAGE($K$10:K97))</f>
        <v>0</v>
      </c>
      <c r="M97" s="15">
        <f>IF(K96="",0,VAR($K$10:K97))</f>
        <v>0</v>
      </c>
      <c r="O97" s="2"/>
      <c r="P97" s="15" t="str">
        <f t="shared" si="43"/>
        <v/>
      </c>
      <c r="Q97" s="15">
        <f>IF(P97="",0,AVERAGE(P$10:P97))</f>
        <v>0</v>
      </c>
      <c r="R97" s="15">
        <f>IF(P96="",0,VAR(P$10:P97))</f>
        <v>0</v>
      </c>
      <c r="T97" s="2"/>
      <c r="U97" s="15" t="str">
        <f t="shared" si="49"/>
        <v/>
      </c>
      <c r="V97" s="15">
        <f>IF(U97="",0,AVERAGE(U$10:U97))</f>
        <v>0</v>
      </c>
      <c r="W97" s="15">
        <f>IF(U96="",0,VAR(U$10:U97))</f>
        <v>0</v>
      </c>
      <c r="Y97" s="2"/>
      <c r="Z97" s="15" t="str">
        <f t="shared" si="44"/>
        <v/>
      </c>
      <c r="AA97" s="15">
        <f>IF(Z97="",0,AVERAGE(Z$10:Z97))</f>
        <v>0</v>
      </c>
      <c r="AB97" s="15">
        <f>IF(Z96="",0,VAR(Z$10:Z97))</f>
        <v>0</v>
      </c>
      <c r="AD97" s="2"/>
      <c r="AE97" s="15" t="str">
        <f t="shared" si="50"/>
        <v/>
      </c>
      <c r="AF97" s="15">
        <f>IF(AE97="",0,AVERAGE(AE$10:AE97))</f>
        <v>0</v>
      </c>
      <c r="AG97" s="15">
        <f>IF(AE96="",0,VAR(AE$10:AE97))</f>
        <v>0</v>
      </c>
      <c r="AI97" s="2"/>
      <c r="AJ97" s="15" t="str">
        <f t="shared" si="45"/>
        <v/>
      </c>
      <c r="AK97" s="15">
        <f>IF(AJ97="",0,AVERAGE(AJ$10:AJ97))</f>
        <v>0</v>
      </c>
      <c r="AL97" s="15">
        <f>IF(AJ96="",0,VAR(AJ$10:AJ97))</f>
        <v>0</v>
      </c>
      <c r="AN97" s="2"/>
      <c r="AO97" s="15" t="str">
        <f t="shared" si="46"/>
        <v/>
      </c>
      <c r="AP97" s="15">
        <f>IF(AO97="",0,AVERAGE(AO$10:AO97))</f>
        <v>0</v>
      </c>
      <c r="AQ97" s="15">
        <f>IF(AO96="",0,VAR(AO$10:AO97))</f>
        <v>0</v>
      </c>
      <c r="AS97" s="2"/>
      <c r="AT97" s="15" t="str">
        <f t="shared" si="47"/>
        <v/>
      </c>
      <c r="AU97" s="15">
        <f>IF(AT97="",0,AVERAGE(AT$10:AT97))</f>
        <v>0</v>
      </c>
      <c r="AV97" s="15">
        <f>IF(AT96="",0,VAR(AT$10:AT97))</f>
        <v>0</v>
      </c>
      <c r="AX97" s="2"/>
      <c r="AY97" s="15" t="str">
        <f t="shared" si="48"/>
        <v/>
      </c>
      <c r="AZ97" s="15">
        <f>IF(AY97="",0,AVERAGE(AY$10:AY97))</f>
        <v>0</v>
      </c>
      <c r="BA97" s="15">
        <f>IF(AY96="",0,VAR(AY$10:AY97))</f>
        <v>0</v>
      </c>
    </row>
    <row r="98" spans="3:53" x14ac:dyDescent="0.25">
      <c r="C98" s="2"/>
      <c r="E98" s="2"/>
      <c r="F98" s="15" t="str">
        <f t="shared" si="41"/>
        <v/>
      </c>
      <c r="G98" s="15">
        <f>IF(F98="",0,AVERAGE($F$10:F98))</f>
        <v>0</v>
      </c>
      <c r="H98" s="15">
        <f>IF(F97="",0,VAR($F$10:F98))</f>
        <v>0</v>
      </c>
      <c r="J98" s="2"/>
      <c r="K98" s="15" t="str">
        <f t="shared" si="42"/>
        <v/>
      </c>
      <c r="L98" s="15">
        <f>IF(K98="",0,AVERAGE($K$10:K98))</f>
        <v>0</v>
      </c>
      <c r="M98" s="15">
        <f>IF(K97="",0,VAR($K$10:K98))</f>
        <v>0</v>
      </c>
      <c r="O98" s="2"/>
      <c r="P98" s="15" t="str">
        <f t="shared" si="43"/>
        <v/>
      </c>
      <c r="Q98" s="15">
        <f>IF(P98="",0,AVERAGE(P$10:P98))</f>
        <v>0</v>
      </c>
      <c r="R98" s="15">
        <f>IF(P97="",0,VAR(P$10:P98))</f>
        <v>0</v>
      </c>
      <c r="T98" s="2"/>
      <c r="U98" s="15" t="str">
        <f t="shared" si="49"/>
        <v/>
      </c>
      <c r="V98" s="15">
        <f>IF(U98="",0,AVERAGE(U$10:U98))</f>
        <v>0</v>
      </c>
      <c r="W98" s="15">
        <f>IF(U97="",0,VAR(U$10:U98))</f>
        <v>0</v>
      </c>
      <c r="Y98" s="2"/>
      <c r="Z98" s="15" t="str">
        <f t="shared" si="44"/>
        <v/>
      </c>
      <c r="AA98" s="15">
        <f>IF(Z98="",0,AVERAGE(Z$10:Z98))</f>
        <v>0</v>
      </c>
      <c r="AB98" s="15">
        <f>IF(Z97="",0,VAR(Z$10:Z98))</f>
        <v>0</v>
      </c>
      <c r="AD98" s="2"/>
      <c r="AE98" s="15" t="str">
        <f t="shared" si="50"/>
        <v/>
      </c>
      <c r="AF98" s="15">
        <f>IF(AE98="",0,AVERAGE(AE$10:AE98))</f>
        <v>0</v>
      </c>
      <c r="AG98" s="15">
        <f>IF(AE97="",0,VAR(AE$10:AE98))</f>
        <v>0</v>
      </c>
      <c r="AI98" s="2"/>
      <c r="AJ98" s="15" t="str">
        <f t="shared" si="45"/>
        <v/>
      </c>
      <c r="AK98" s="15">
        <f>IF(AJ98="",0,AVERAGE(AJ$10:AJ98))</f>
        <v>0</v>
      </c>
      <c r="AL98" s="15">
        <f>IF(AJ97="",0,VAR(AJ$10:AJ98))</f>
        <v>0</v>
      </c>
      <c r="AN98" s="2"/>
      <c r="AO98" s="15" t="str">
        <f t="shared" si="46"/>
        <v/>
      </c>
      <c r="AP98" s="15">
        <f>IF(AO98="",0,AVERAGE(AO$10:AO98))</f>
        <v>0</v>
      </c>
      <c r="AQ98" s="15">
        <f>IF(AO97="",0,VAR(AO$10:AO98))</f>
        <v>0</v>
      </c>
      <c r="AS98" s="2"/>
      <c r="AT98" s="15" t="str">
        <f t="shared" si="47"/>
        <v/>
      </c>
      <c r="AU98" s="15">
        <f>IF(AT98="",0,AVERAGE(AT$10:AT98))</f>
        <v>0</v>
      </c>
      <c r="AV98" s="15">
        <f>IF(AT97="",0,VAR(AT$10:AT98))</f>
        <v>0</v>
      </c>
      <c r="AX98" s="2"/>
      <c r="AY98" s="15" t="str">
        <f t="shared" si="48"/>
        <v/>
      </c>
      <c r="AZ98" s="15">
        <f>IF(AY98="",0,AVERAGE(AY$10:AY98))</f>
        <v>0</v>
      </c>
      <c r="BA98" s="15">
        <f>IF(AY97="",0,VAR(AY$10:AY98))</f>
        <v>0</v>
      </c>
    </row>
    <row r="99" spans="3:53" x14ac:dyDescent="0.25">
      <c r="C99" s="2"/>
      <c r="E99" s="2"/>
      <c r="F99" s="15"/>
      <c r="G99" s="15">
        <f>IF(F99="",0,AVERAGE($F$10:F99))</f>
        <v>0</v>
      </c>
      <c r="H99" s="15">
        <f>IF(F98="",0,VAR($F$10:F99))</f>
        <v>0</v>
      </c>
      <c r="J99" s="2"/>
      <c r="K99" s="15" t="str">
        <f t="shared" si="42"/>
        <v/>
      </c>
      <c r="L99" s="15">
        <f>IF(K99="",0,AVERAGE($K$10:K99))</f>
        <v>0</v>
      </c>
      <c r="M99" s="15">
        <f>IF(K98="",0,VAR($K$10:K99))</f>
        <v>0</v>
      </c>
      <c r="O99" s="2"/>
      <c r="P99" s="15" t="str">
        <f t="shared" si="43"/>
        <v/>
      </c>
      <c r="Q99" s="15">
        <f>IF(P99="",0,AVERAGE(P$10:P99))</f>
        <v>0</v>
      </c>
      <c r="R99" s="15">
        <f>IF(P98="",0,VAR(P$10:P99))</f>
        <v>0</v>
      </c>
      <c r="T99" s="2"/>
      <c r="U99" s="15" t="str">
        <f t="shared" si="49"/>
        <v/>
      </c>
      <c r="V99" s="15">
        <f>IF(U99="",0,AVERAGE(U$10:U99))</f>
        <v>0</v>
      </c>
      <c r="W99" s="15">
        <f>IF(U98="",0,VAR(U$10:U99))</f>
        <v>0</v>
      </c>
      <c r="Y99" s="2"/>
      <c r="Z99" s="15" t="str">
        <f t="shared" si="44"/>
        <v/>
      </c>
      <c r="AA99" s="15">
        <f>IF(Z99="",0,AVERAGE(Z$10:Z99))</f>
        <v>0</v>
      </c>
      <c r="AB99" s="15">
        <f>IF(Z98="",0,VAR(Z$10:Z99))</f>
        <v>0</v>
      </c>
      <c r="AD99" s="2"/>
      <c r="AE99" s="15" t="str">
        <f t="shared" si="50"/>
        <v/>
      </c>
      <c r="AF99" s="15">
        <f>IF(AE99="",0,AVERAGE(AE$10:AE99))</f>
        <v>0</v>
      </c>
      <c r="AG99" s="15">
        <f>IF(AE98="",0,VAR(AE$10:AE99))</f>
        <v>0</v>
      </c>
      <c r="AI99" s="2"/>
      <c r="AJ99" s="15" t="str">
        <f t="shared" si="45"/>
        <v/>
      </c>
      <c r="AK99" s="15">
        <f>IF(AJ99="",0,AVERAGE(AJ$10:AJ99))</f>
        <v>0</v>
      </c>
      <c r="AL99" s="15">
        <f>IF(AJ98="",0,VAR(AJ$10:AJ99))</f>
        <v>0</v>
      </c>
      <c r="AN99" s="2"/>
      <c r="AO99" s="15" t="str">
        <f t="shared" si="46"/>
        <v/>
      </c>
      <c r="AP99" s="15">
        <f>IF(AO99="",0,AVERAGE(AO$10:AO99))</f>
        <v>0</v>
      </c>
      <c r="AQ99" s="15">
        <f>IF(AO98="",0,VAR(AO$10:AO99))</f>
        <v>0</v>
      </c>
      <c r="AS99" s="2"/>
      <c r="AT99" s="15" t="str">
        <f t="shared" si="47"/>
        <v/>
      </c>
      <c r="AU99" s="15">
        <f>IF(AT99="",0,AVERAGE(AT$10:AT99))</f>
        <v>0</v>
      </c>
      <c r="AV99" s="15">
        <f>IF(AT98="",0,VAR(AT$10:AT99))</f>
        <v>0</v>
      </c>
      <c r="AX99" s="2"/>
      <c r="AY99" s="15" t="str">
        <f t="shared" si="48"/>
        <v/>
      </c>
      <c r="AZ99" s="15">
        <f>IF(AY99="",0,AVERAGE(AY$10:AY99))</f>
        <v>0</v>
      </c>
      <c r="BA99" s="15">
        <f>IF(AY98="",0,VAR(AY$10:AY99))</f>
        <v>0</v>
      </c>
    </row>
    <row r="100" spans="3:53" x14ac:dyDescent="0.25">
      <c r="C100" s="2"/>
      <c r="E100" s="2"/>
      <c r="F100" s="15" t="str">
        <f t="shared" ref="F100" si="58">IF(E100="","",+(E100-E99)/E99)</f>
        <v/>
      </c>
      <c r="G100" s="15">
        <f>IF(F100="",0,AVERAGE($F$10:F100))</f>
        <v>0</v>
      </c>
      <c r="H100" s="15">
        <f>IF(F99="",0,VAR($F$10:F100))</f>
        <v>0</v>
      </c>
      <c r="J100" s="2"/>
      <c r="K100" s="15" t="str">
        <f t="shared" si="42"/>
        <v/>
      </c>
      <c r="L100" s="15">
        <f>IF(K100="",0,AVERAGE($K$10:K100))</f>
        <v>0</v>
      </c>
      <c r="M100" s="15">
        <f>IF(K99="",0,VAR($K$10:K100))</f>
        <v>0</v>
      </c>
      <c r="O100" s="2"/>
      <c r="P100" s="15" t="str">
        <f t="shared" si="43"/>
        <v/>
      </c>
      <c r="Q100" s="15">
        <f>IF(P100="",0,AVERAGE(P$10:P100))</f>
        <v>0</v>
      </c>
      <c r="R100" s="15">
        <f>IF(P99="",0,VAR(P$10:P100))</f>
        <v>0</v>
      </c>
      <c r="T100" s="2"/>
      <c r="U100" s="15" t="str">
        <f t="shared" si="49"/>
        <v/>
      </c>
      <c r="V100" s="15">
        <f>IF(U100="",0,AVERAGE(U$10:U100))</f>
        <v>0</v>
      </c>
      <c r="W100" s="15">
        <f>IF(U99="",0,VAR(U$10:U100))</f>
        <v>0</v>
      </c>
      <c r="Y100" s="2"/>
      <c r="Z100" s="15" t="str">
        <f t="shared" si="44"/>
        <v/>
      </c>
      <c r="AA100" s="15">
        <f>IF(Z100="",0,AVERAGE(Z$10:Z100))</f>
        <v>0</v>
      </c>
      <c r="AB100" s="15">
        <f>IF(Z99="",0,VAR(Z$10:Z100))</f>
        <v>0</v>
      </c>
      <c r="AD100" s="2"/>
      <c r="AE100" s="15" t="str">
        <f t="shared" si="50"/>
        <v/>
      </c>
      <c r="AF100" s="15">
        <f>IF(AE100="",0,AVERAGE(AE$10:AE100))</f>
        <v>0</v>
      </c>
      <c r="AG100" s="15">
        <f>IF(AE99="",0,VAR(AE$10:AE100))</f>
        <v>0</v>
      </c>
      <c r="AI100" s="2"/>
      <c r="AJ100" s="15" t="str">
        <f t="shared" si="45"/>
        <v/>
      </c>
      <c r="AK100" s="15">
        <f>IF(AJ100="",0,AVERAGE(AJ$10:AJ100))</f>
        <v>0</v>
      </c>
      <c r="AL100" s="15">
        <f>IF(AJ99="",0,VAR(AJ$10:AJ100))</f>
        <v>0</v>
      </c>
      <c r="AN100" s="2"/>
      <c r="AO100" s="15" t="str">
        <f t="shared" si="46"/>
        <v/>
      </c>
      <c r="AP100" s="15">
        <f>IF(AO100="",0,AVERAGE(AO$10:AO100))</f>
        <v>0</v>
      </c>
      <c r="AQ100" s="15">
        <f>IF(AO99="",0,VAR(AO$10:AO100))</f>
        <v>0</v>
      </c>
      <c r="AS100" s="2"/>
      <c r="AT100" s="15" t="str">
        <f t="shared" si="47"/>
        <v/>
      </c>
      <c r="AU100" s="15">
        <f>IF(AT100="",0,AVERAGE(AT$10:AT100))</f>
        <v>0</v>
      </c>
      <c r="AV100" s="15">
        <f>IF(AT99="",0,VAR(AT$10:AT100))</f>
        <v>0</v>
      </c>
      <c r="AX100" s="2"/>
      <c r="AY100" s="15" t="str">
        <f t="shared" si="48"/>
        <v/>
      </c>
      <c r="AZ100" s="15">
        <f>IF(AY100="",0,AVERAGE(AY$10:AY100))</f>
        <v>0</v>
      </c>
      <c r="BA100" s="15">
        <f>IF(AY99="",0,VAR(AY$10:AY100))</f>
        <v>0</v>
      </c>
    </row>
    <row r="101" spans="3:53" x14ac:dyDescent="0.25">
      <c r="C101" s="2"/>
      <c r="E101" s="2"/>
      <c r="F101" s="15" t="str">
        <f t="shared" si="41"/>
        <v/>
      </c>
      <c r="G101" s="15">
        <f>IF(F101="",0,AVERAGE($F$10:F101))</f>
        <v>0</v>
      </c>
      <c r="H101" s="15">
        <f>IF(F100="",0,VAR($F$10:F101))</f>
        <v>0</v>
      </c>
      <c r="J101" s="2"/>
      <c r="K101" s="15" t="str">
        <f t="shared" si="42"/>
        <v/>
      </c>
      <c r="L101" s="15">
        <f>IF(K101="",0,AVERAGE($K$10:K101))</f>
        <v>0</v>
      </c>
      <c r="M101" s="15">
        <f>IF(K100="",0,VAR($K$10:K101))</f>
        <v>0</v>
      </c>
      <c r="O101" s="2"/>
      <c r="P101" s="15" t="str">
        <f t="shared" si="43"/>
        <v/>
      </c>
      <c r="Q101" s="15">
        <f>IF(P101="",0,AVERAGE(P$10:P101))</f>
        <v>0</v>
      </c>
      <c r="R101" s="15">
        <f>IF(P100="",0,VAR(P$10:P101))</f>
        <v>0</v>
      </c>
      <c r="T101" s="2"/>
      <c r="U101" s="15" t="str">
        <f t="shared" si="49"/>
        <v/>
      </c>
      <c r="V101" s="15">
        <f>IF(U101="",0,AVERAGE(U$10:U101))</f>
        <v>0</v>
      </c>
      <c r="W101" s="15">
        <f>IF(U100="",0,VAR(U$10:U101))</f>
        <v>0</v>
      </c>
      <c r="Y101" s="2"/>
      <c r="Z101" s="15" t="str">
        <f t="shared" si="44"/>
        <v/>
      </c>
      <c r="AA101" s="15">
        <f>IF(Z101="",0,AVERAGE(Z$10:Z101))</f>
        <v>0</v>
      </c>
      <c r="AB101" s="15">
        <f>IF(Z100="",0,VAR(Z$10:Z101))</f>
        <v>0</v>
      </c>
      <c r="AD101" s="2"/>
      <c r="AE101" s="15" t="str">
        <f t="shared" si="50"/>
        <v/>
      </c>
      <c r="AF101" s="15">
        <f>IF(AE101="",0,AVERAGE(AE$10:AE101))</f>
        <v>0</v>
      </c>
      <c r="AG101" s="15">
        <f>IF(AE100="",0,VAR(AE$10:AE101))</f>
        <v>0</v>
      </c>
      <c r="AI101" s="2"/>
      <c r="AJ101" s="15" t="str">
        <f t="shared" si="45"/>
        <v/>
      </c>
      <c r="AK101" s="15">
        <f>IF(AJ101="",0,AVERAGE(AJ$10:AJ101))</f>
        <v>0</v>
      </c>
      <c r="AL101" s="15">
        <f>IF(AJ100="",0,VAR(AJ$10:AJ101))</f>
        <v>0</v>
      </c>
      <c r="AN101" s="2"/>
      <c r="AO101" s="15" t="str">
        <f t="shared" si="46"/>
        <v/>
      </c>
      <c r="AP101" s="15">
        <f>IF(AO101="",0,AVERAGE(AO$10:AO101))</f>
        <v>0</v>
      </c>
      <c r="AQ101" s="15">
        <f>IF(AO100="",0,VAR(AO$10:AO101))</f>
        <v>0</v>
      </c>
      <c r="AS101" s="2"/>
      <c r="AT101" s="15" t="str">
        <f t="shared" si="47"/>
        <v/>
      </c>
      <c r="AU101" s="15">
        <f>IF(AT101="",0,AVERAGE(AT$10:AT101))</f>
        <v>0</v>
      </c>
      <c r="AV101" s="15">
        <f>IF(AT100="",0,VAR(AT$10:AT101))</f>
        <v>0</v>
      </c>
      <c r="AX101" s="2"/>
      <c r="AY101" s="15" t="str">
        <f t="shared" si="48"/>
        <v/>
      </c>
      <c r="AZ101" s="15">
        <f>IF(AY101="",0,AVERAGE(AY$10:AY101))</f>
        <v>0</v>
      </c>
      <c r="BA101" s="15">
        <f>IF(AY100="",0,VAR(AY$10:AY101))</f>
        <v>0</v>
      </c>
    </row>
    <row r="102" spans="3:53" x14ac:dyDescent="0.25">
      <c r="C102" s="2"/>
      <c r="E102" s="2"/>
      <c r="F102" s="15"/>
      <c r="G102" s="15">
        <f>IF(F102="",0,AVERAGE($F$10:F102))</f>
        <v>0</v>
      </c>
      <c r="H102" s="15">
        <f>IF(F101="",0,VAR($F$10:F102))</f>
        <v>0</v>
      </c>
      <c r="J102" s="2"/>
      <c r="K102" s="15" t="str">
        <f t="shared" si="42"/>
        <v/>
      </c>
      <c r="L102" s="15">
        <f>IF(K102="",0,AVERAGE($K$10:K102))</f>
        <v>0</v>
      </c>
      <c r="M102" s="15">
        <f>IF(K101="",0,VAR($K$10:K102))</f>
        <v>0</v>
      </c>
      <c r="O102" s="2"/>
      <c r="P102" s="15" t="str">
        <f t="shared" si="43"/>
        <v/>
      </c>
      <c r="Q102" s="15">
        <f>IF(P102="",0,AVERAGE(P$10:P102))</f>
        <v>0</v>
      </c>
      <c r="R102" s="15">
        <f>IF(P101="",0,VAR(P$10:P102))</f>
        <v>0</v>
      </c>
      <c r="T102" s="2"/>
      <c r="U102" s="15" t="str">
        <f t="shared" si="49"/>
        <v/>
      </c>
      <c r="V102" s="15">
        <f>IF(U102="",0,AVERAGE(U$10:U102))</f>
        <v>0</v>
      </c>
      <c r="W102" s="15">
        <f>IF(U101="",0,VAR(U$10:U102))</f>
        <v>0</v>
      </c>
      <c r="Y102" s="2"/>
      <c r="Z102" s="15" t="str">
        <f t="shared" si="44"/>
        <v/>
      </c>
      <c r="AA102" s="15">
        <f>IF(Z102="",0,AVERAGE(Z$10:Z102))</f>
        <v>0</v>
      </c>
      <c r="AB102" s="15">
        <f>IF(Z101="",0,VAR(Z$10:Z102))</f>
        <v>0</v>
      </c>
      <c r="AD102" s="2"/>
      <c r="AE102" s="15" t="str">
        <f t="shared" si="50"/>
        <v/>
      </c>
      <c r="AF102" s="15">
        <f>IF(AE102="",0,AVERAGE(AE$10:AE102))</f>
        <v>0</v>
      </c>
      <c r="AG102" s="15">
        <f>IF(AE101="",0,VAR(AE$10:AE102))</f>
        <v>0</v>
      </c>
      <c r="AI102" s="2"/>
      <c r="AJ102" s="15" t="str">
        <f t="shared" si="45"/>
        <v/>
      </c>
      <c r="AK102" s="15">
        <f>IF(AJ102="",0,AVERAGE(AJ$10:AJ102))</f>
        <v>0</v>
      </c>
      <c r="AL102" s="15">
        <f>IF(AJ101="",0,VAR(AJ$10:AJ102))</f>
        <v>0</v>
      </c>
      <c r="AN102" s="2"/>
      <c r="AO102" s="15" t="str">
        <f t="shared" si="46"/>
        <v/>
      </c>
      <c r="AP102" s="15">
        <f>IF(AO102="",0,AVERAGE(AO$10:AO102))</f>
        <v>0</v>
      </c>
      <c r="AQ102" s="15">
        <f>IF(AO101="",0,VAR(AO$10:AO102))</f>
        <v>0</v>
      </c>
      <c r="AS102" s="2"/>
      <c r="AT102" s="15" t="str">
        <f t="shared" si="47"/>
        <v/>
      </c>
      <c r="AU102" s="15">
        <f>IF(AT102="",0,AVERAGE(AT$10:AT102))</f>
        <v>0</v>
      </c>
      <c r="AV102" s="15">
        <f>IF(AT101="",0,VAR(AT$10:AT102))</f>
        <v>0</v>
      </c>
      <c r="AX102" s="2"/>
      <c r="AY102" s="15" t="str">
        <f t="shared" si="48"/>
        <v/>
      </c>
      <c r="AZ102" s="15">
        <f>IF(AY102="",0,AVERAGE(AY$10:AY102))</f>
        <v>0</v>
      </c>
      <c r="BA102" s="15">
        <f>IF(AY101="",0,VAR(AY$10:AY102))</f>
        <v>0</v>
      </c>
    </row>
    <row r="103" spans="3:53" x14ac:dyDescent="0.25">
      <c r="C103" s="2"/>
      <c r="E103" s="2"/>
      <c r="F103" s="15" t="str">
        <f t="shared" ref="F103" si="59">IF(E103="","",+(E103-E102)/E102)</f>
        <v/>
      </c>
      <c r="G103" s="15">
        <f>IF(F103="",0,AVERAGE($F$10:F103))</f>
        <v>0</v>
      </c>
      <c r="H103" s="15">
        <f>IF(F102="",0,VAR($F$10:F103))</f>
        <v>0</v>
      </c>
      <c r="J103" s="2"/>
      <c r="K103" s="15" t="str">
        <f t="shared" si="42"/>
        <v/>
      </c>
      <c r="L103" s="15">
        <f>IF(K103="",0,AVERAGE($K$10:K103))</f>
        <v>0</v>
      </c>
      <c r="M103" s="15">
        <f>IF(K102="",0,VAR($K$10:K103))</f>
        <v>0</v>
      </c>
      <c r="O103" s="2"/>
      <c r="P103" s="15" t="str">
        <f t="shared" si="43"/>
        <v/>
      </c>
      <c r="Q103" s="15">
        <f>IF(P103="",0,AVERAGE(P$10:P103))</f>
        <v>0</v>
      </c>
      <c r="R103" s="15">
        <f>IF(P102="",0,VAR(P$10:P103))</f>
        <v>0</v>
      </c>
      <c r="T103" s="2"/>
      <c r="U103" s="15" t="str">
        <f t="shared" si="49"/>
        <v/>
      </c>
      <c r="V103" s="15">
        <f>IF(U103="",0,AVERAGE(U$10:U103))</f>
        <v>0</v>
      </c>
      <c r="W103" s="15">
        <f>IF(U102="",0,VAR(U$10:U103))</f>
        <v>0</v>
      </c>
      <c r="Y103" s="2"/>
      <c r="Z103" s="15" t="str">
        <f t="shared" si="44"/>
        <v/>
      </c>
      <c r="AA103" s="15">
        <f>IF(Z103="",0,AVERAGE(Z$10:Z103))</f>
        <v>0</v>
      </c>
      <c r="AB103" s="15">
        <f>IF(Z102="",0,VAR(Z$10:Z103))</f>
        <v>0</v>
      </c>
      <c r="AD103" s="2"/>
      <c r="AE103" s="15" t="str">
        <f t="shared" si="50"/>
        <v/>
      </c>
      <c r="AF103" s="15">
        <f>IF(AE103="",0,AVERAGE(AE$10:AE103))</f>
        <v>0</v>
      </c>
      <c r="AG103" s="15">
        <f>IF(AE102="",0,VAR(AE$10:AE103))</f>
        <v>0</v>
      </c>
      <c r="AI103" s="2"/>
      <c r="AJ103" s="15" t="str">
        <f t="shared" si="45"/>
        <v/>
      </c>
      <c r="AK103" s="15">
        <f>IF(AJ103="",0,AVERAGE(AJ$10:AJ103))</f>
        <v>0</v>
      </c>
      <c r="AL103" s="15">
        <f>IF(AJ102="",0,VAR(AJ$10:AJ103))</f>
        <v>0</v>
      </c>
      <c r="AN103" s="2"/>
      <c r="AO103" s="15" t="str">
        <f t="shared" si="46"/>
        <v/>
      </c>
      <c r="AP103" s="15">
        <f>IF(AO103="",0,AVERAGE(AO$10:AO103))</f>
        <v>0</v>
      </c>
      <c r="AQ103" s="15">
        <f>IF(AO102="",0,VAR(AO$10:AO103))</f>
        <v>0</v>
      </c>
      <c r="AS103" s="2"/>
      <c r="AT103" s="15" t="str">
        <f t="shared" si="47"/>
        <v/>
      </c>
      <c r="AU103" s="15">
        <f>IF(AT103="",0,AVERAGE(AT$10:AT103))</f>
        <v>0</v>
      </c>
      <c r="AV103" s="15">
        <f>IF(AT102="",0,VAR(AT$10:AT103))</f>
        <v>0</v>
      </c>
      <c r="AX103" s="2"/>
      <c r="AY103" s="15" t="str">
        <f t="shared" si="48"/>
        <v/>
      </c>
      <c r="AZ103" s="15">
        <f>IF(AY103="",0,AVERAGE(AY$10:AY103))</f>
        <v>0</v>
      </c>
      <c r="BA103" s="15">
        <f>IF(AY102="",0,VAR(AY$10:AY103))</f>
        <v>0</v>
      </c>
    </row>
    <row r="104" spans="3:53" x14ac:dyDescent="0.25">
      <c r="C104" s="2"/>
      <c r="E104" s="2"/>
      <c r="F104" s="15" t="str">
        <f t="shared" si="41"/>
        <v/>
      </c>
      <c r="G104" s="15">
        <f>IF(F104="",0,AVERAGE($F$10:F104))</f>
        <v>0</v>
      </c>
      <c r="H104" s="15">
        <f>IF(F103="",0,VAR($F$10:F104))</f>
        <v>0</v>
      </c>
      <c r="J104" s="2"/>
      <c r="K104" s="15" t="str">
        <f t="shared" si="42"/>
        <v/>
      </c>
      <c r="L104" s="15">
        <f>IF(K104="",0,AVERAGE($K$10:K104))</f>
        <v>0</v>
      </c>
      <c r="M104" s="15">
        <f>IF(K103="",0,VAR($K$10:K104))</f>
        <v>0</v>
      </c>
      <c r="O104" s="2"/>
      <c r="P104" s="15" t="str">
        <f t="shared" si="43"/>
        <v/>
      </c>
      <c r="Q104" s="15">
        <f>IF(P104="",0,AVERAGE(P$10:P104))</f>
        <v>0</v>
      </c>
      <c r="R104" s="15">
        <f>IF(P103="",0,VAR(P$10:P104))</f>
        <v>0</v>
      </c>
      <c r="T104" s="2"/>
      <c r="U104" s="15" t="str">
        <f t="shared" si="49"/>
        <v/>
      </c>
      <c r="V104" s="15">
        <f>IF(U104="",0,AVERAGE(U$10:U104))</f>
        <v>0</v>
      </c>
      <c r="W104" s="15">
        <f>IF(U103="",0,VAR(U$10:U104))</f>
        <v>0</v>
      </c>
      <c r="Y104" s="2"/>
      <c r="Z104" s="15" t="str">
        <f t="shared" si="44"/>
        <v/>
      </c>
      <c r="AA104" s="15">
        <f>IF(Z104="",0,AVERAGE(Z$10:Z104))</f>
        <v>0</v>
      </c>
      <c r="AB104" s="15">
        <f>IF(Z103="",0,VAR(Z$10:Z104))</f>
        <v>0</v>
      </c>
      <c r="AD104" s="2"/>
      <c r="AE104" s="15" t="str">
        <f t="shared" si="50"/>
        <v/>
      </c>
      <c r="AF104" s="15">
        <f>IF(AE104="",0,AVERAGE(AE$10:AE104))</f>
        <v>0</v>
      </c>
      <c r="AG104" s="15">
        <f>IF(AE103="",0,VAR(AE$10:AE104))</f>
        <v>0</v>
      </c>
      <c r="AI104" s="2"/>
      <c r="AJ104" s="15" t="str">
        <f t="shared" si="45"/>
        <v/>
      </c>
      <c r="AK104" s="15">
        <f>IF(AJ104="",0,AVERAGE(AJ$10:AJ104))</f>
        <v>0</v>
      </c>
      <c r="AL104" s="15">
        <f>IF(AJ103="",0,VAR(AJ$10:AJ104))</f>
        <v>0</v>
      </c>
      <c r="AN104" s="2"/>
      <c r="AO104" s="15" t="str">
        <f t="shared" si="46"/>
        <v/>
      </c>
      <c r="AP104" s="15">
        <f>IF(AO104="",0,AVERAGE(AO$10:AO104))</f>
        <v>0</v>
      </c>
      <c r="AQ104" s="15">
        <f>IF(AO103="",0,VAR(AO$10:AO104))</f>
        <v>0</v>
      </c>
      <c r="AS104" s="2"/>
      <c r="AT104" s="15" t="str">
        <f t="shared" si="47"/>
        <v/>
      </c>
      <c r="AU104" s="15">
        <f>IF(AT104="",0,AVERAGE(AT$10:AT104))</f>
        <v>0</v>
      </c>
      <c r="AV104" s="15">
        <f>IF(AT103="",0,VAR(AT$10:AT104))</f>
        <v>0</v>
      </c>
      <c r="AX104" s="2"/>
      <c r="AY104" s="15" t="str">
        <f t="shared" si="48"/>
        <v/>
      </c>
      <c r="AZ104" s="15">
        <f>IF(AY104="",0,AVERAGE(AY$10:AY104))</f>
        <v>0</v>
      </c>
      <c r="BA104" s="15">
        <f>IF(AY103="",0,VAR(AY$10:AY104))</f>
        <v>0</v>
      </c>
    </row>
    <row r="105" spans="3:53" x14ac:dyDescent="0.25">
      <c r="C105" s="2"/>
      <c r="E105" s="2"/>
      <c r="F105" s="15"/>
      <c r="G105" s="15">
        <f>IF(F105="",0,AVERAGE($F$10:F105))</f>
        <v>0</v>
      </c>
      <c r="H105" s="15">
        <f>IF(F104="",0,VAR($F$10:F105))</f>
        <v>0</v>
      </c>
      <c r="J105" s="2"/>
      <c r="K105" s="15" t="str">
        <f t="shared" si="42"/>
        <v/>
      </c>
      <c r="L105" s="15">
        <f>IF(K105="",0,AVERAGE($K$10:K105))</f>
        <v>0</v>
      </c>
      <c r="M105" s="15">
        <f>IF(K104="",0,VAR($K$10:K105))</f>
        <v>0</v>
      </c>
      <c r="O105" s="2"/>
      <c r="P105" s="15" t="str">
        <f t="shared" si="43"/>
        <v/>
      </c>
      <c r="Q105" s="15">
        <f>IF(P105="",0,AVERAGE(P$10:P105))</f>
        <v>0</v>
      </c>
      <c r="R105" s="15">
        <f>IF(P104="",0,VAR(P$10:P105))</f>
        <v>0</v>
      </c>
      <c r="T105" s="2"/>
      <c r="U105" s="15" t="str">
        <f t="shared" si="49"/>
        <v/>
      </c>
      <c r="V105" s="15">
        <f>IF(U105="",0,AVERAGE(U$10:U105))</f>
        <v>0</v>
      </c>
      <c r="W105" s="15">
        <f>IF(U104="",0,VAR(U$10:U105))</f>
        <v>0</v>
      </c>
      <c r="Y105" s="2"/>
      <c r="Z105" s="15" t="str">
        <f t="shared" si="44"/>
        <v/>
      </c>
      <c r="AA105" s="15">
        <f>IF(Z105="",0,AVERAGE(Z$10:Z105))</f>
        <v>0</v>
      </c>
      <c r="AB105" s="15">
        <f>IF(Z104="",0,VAR(Z$10:Z105))</f>
        <v>0</v>
      </c>
      <c r="AD105" s="2"/>
      <c r="AE105" s="15" t="str">
        <f t="shared" si="50"/>
        <v/>
      </c>
      <c r="AF105" s="15">
        <f>IF(AE105="",0,AVERAGE(AE$10:AE105))</f>
        <v>0</v>
      </c>
      <c r="AG105" s="15">
        <f>IF(AE104="",0,VAR(AE$10:AE105))</f>
        <v>0</v>
      </c>
      <c r="AI105" s="2"/>
      <c r="AJ105" s="15" t="str">
        <f t="shared" si="45"/>
        <v/>
      </c>
      <c r="AK105" s="15">
        <f>IF(AJ105="",0,AVERAGE(AJ$10:AJ105))</f>
        <v>0</v>
      </c>
      <c r="AL105" s="15">
        <f>IF(AJ104="",0,VAR(AJ$10:AJ105))</f>
        <v>0</v>
      </c>
      <c r="AN105" s="2"/>
      <c r="AO105" s="15" t="str">
        <f t="shared" si="46"/>
        <v/>
      </c>
      <c r="AP105" s="15">
        <f>IF(AO105="",0,AVERAGE(AO$10:AO105))</f>
        <v>0</v>
      </c>
      <c r="AQ105" s="15">
        <f>IF(AO104="",0,VAR(AO$10:AO105))</f>
        <v>0</v>
      </c>
      <c r="AS105" s="2"/>
      <c r="AT105" s="15" t="str">
        <f t="shared" si="47"/>
        <v/>
      </c>
      <c r="AU105" s="15">
        <f>IF(AT105="",0,AVERAGE(AT$10:AT105))</f>
        <v>0</v>
      </c>
      <c r="AV105" s="15">
        <f>IF(AT104="",0,VAR(AT$10:AT105))</f>
        <v>0</v>
      </c>
      <c r="AX105" s="2"/>
      <c r="AY105" s="15" t="str">
        <f t="shared" si="48"/>
        <v/>
      </c>
      <c r="AZ105" s="15">
        <f>IF(AY105="",0,AVERAGE(AY$10:AY105))</f>
        <v>0</v>
      </c>
      <c r="BA105" s="15">
        <f>IF(AY104="",0,VAR(AY$10:AY105))</f>
        <v>0</v>
      </c>
    </row>
    <row r="106" spans="3:53" x14ac:dyDescent="0.25">
      <c r="C106" s="2"/>
      <c r="E106" s="2"/>
      <c r="F106" s="15" t="str">
        <f t="shared" ref="F106" si="60">IF(E106="","",+(E106-E105)/E105)</f>
        <v/>
      </c>
      <c r="G106" s="15">
        <f>IF(F106="",0,AVERAGE($F$10:F106))</f>
        <v>0</v>
      </c>
      <c r="H106" s="15">
        <f>IF(F105="",0,VAR($F$10:F106))</f>
        <v>0</v>
      </c>
      <c r="J106" s="2"/>
      <c r="K106" s="15" t="str">
        <f t="shared" si="42"/>
        <v/>
      </c>
      <c r="L106" s="15">
        <f>IF(K106="",0,AVERAGE($K$10:K106))</f>
        <v>0</v>
      </c>
      <c r="M106" s="15">
        <f>IF(K105="",0,VAR($K$10:K106))</f>
        <v>0</v>
      </c>
      <c r="O106" s="2"/>
      <c r="P106" s="15" t="str">
        <f t="shared" si="43"/>
        <v/>
      </c>
      <c r="Q106" s="15">
        <f>IF(P106="",0,AVERAGE(P$10:P106))</f>
        <v>0</v>
      </c>
      <c r="R106" s="15">
        <f>IF(P105="",0,VAR(P$10:P106))</f>
        <v>0</v>
      </c>
      <c r="T106" s="2"/>
      <c r="U106" s="15" t="str">
        <f t="shared" si="49"/>
        <v/>
      </c>
      <c r="V106" s="15">
        <f>IF(U106="",0,AVERAGE(U$10:U106))</f>
        <v>0</v>
      </c>
      <c r="W106" s="15">
        <f>IF(U105="",0,VAR(U$10:U106))</f>
        <v>0</v>
      </c>
      <c r="Y106" s="2"/>
      <c r="Z106" s="15" t="str">
        <f t="shared" si="44"/>
        <v/>
      </c>
      <c r="AA106" s="15">
        <f>IF(Z106="",0,AVERAGE(Z$10:Z106))</f>
        <v>0</v>
      </c>
      <c r="AB106" s="15">
        <f>IF(Z105="",0,VAR(Z$10:Z106))</f>
        <v>0</v>
      </c>
      <c r="AD106" s="2"/>
      <c r="AE106" s="15" t="str">
        <f t="shared" si="50"/>
        <v/>
      </c>
      <c r="AF106" s="15">
        <f>IF(AE106="",0,AVERAGE(AE$10:AE106))</f>
        <v>0</v>
      </c>
      <c r="AG106" s="15">
        <f>IF(AE105="",0,VAR(AE$10:AE106))</f>
        <v>0</v>
      </c>
      <c r="AI106" s="2"/>
      <c r="AJ106" s="15" t="str">
        <f t="shared" si="45"/>
        <v/>
      </c>
      <c r="AK106" s="15">
        <f>IF(AJ106="",0,AVERAGE(AJ$10:AJ106))</f>
        <v>0</v>
      </c>
      <c r="AL106" s="15">
        <f>IF(AJ105="",0,VAR(AJ$10:AJ106))</f>
        <v>0</v>
      </c>
      <c r="AN106" s="2"/>
      <c r="AO106" s="15" t="str">
        <f t="shared" si="46"/>
        <v/>
      </c>
      <c r="AP106" s="15">
        <f>IF(AO106="",0,AVERAGE(AO$10:AO106))</f>
        <v>0</v>
      </c>
      <c r="AQ106" s="15">
        <f>IF(AO105="",0,VAR(AO$10:AO106))</f>
        <v>0</v>
      </c>
      <c r="AS106" s="2"/>
      <c r="AT106" s="15" t="str">
        <f t="shared" si="47"/>
        <v/>
      </c>
      <c r="AU106" s="15">
        <f>IF(AT106="",0,AVERAGE(AT$10:AT106))</f>
        <v>0</v>
      </c>
      <c r="AV106" s="15">
        <f>IF(AT105="",0,VAR(AT$10:AT106))</f>
        <v>0</v>
      </c>
      <c r="AX106" s="2"/>
      <c r="AY106" s="15" t="str">
        <f t="shared" si="48"/>
        <v/>
      </c>
      <c r="AZ106" s="15">
        <f>IF(AY106="",0,AVERAGE(AY$10:AY106))</f>
        <v>0</v>
      </c>
      <c r="BA106" s="15">
        <f>IF(AY105="",0,VAR(AY$10:AY106))</f>
        <v>0</v>
      </c>
    </row>
    <row r="107" spans="3:53" x14ac:dyDescent="0.25">
      <c r="C107" s="2"/>
      <c r="E107" s="2"/>
      <c r="F107" s="15" t="str">
        <f t="shared" si="41"/>
        <v/>
      </c>
      <c r="G107" s="15">
        <f>IF(F107="",0,AVERAGE($F$10:F107))</f>
        <v>0</v>
      </c>
      <c r="H107" s="15">
        <f>IF(F106="",0,VAR($F$10:F107))</f>
        <v>0</v>
      </c>
      <c r="J107" s="2"/>
      <c r="K107" s="15" t="str">
        <f t="shared" si="42"/>
        <v/>
      </c>
      <c r="L107" s="15">
        <f>IF(K107="",0,AVERAGE($K$10:K107))</f>
        <v>0</v>
      </c>
      <c r="M107" s="15">
        <f>IF(K106="",0,VAR($K$10:K107))</f>
        <v>0</v>
      </c>
      <c r="O107" s="2"/>
      <c r="P107" s="15" t="str">
        <f t="shared" si="43"/>
        <v/>
      </c>
      <c r="Q107" s="15">
        <f>IF(P107="",0,AVERAGE(P$10:P107))</f>
        <v>0</v>
      </c>
      <c r="R107" s="15">
        <f>IF(P106="",0,VAR(P$10:P107))</f>
        <v>0</v>
      </c>
      <c r="T107" s="2"/>
      <c r="U107" s="15" t="str">
        <f t="shared" si="49"/>
        <v/>
      </c>
      <c r="V107" s="15">
        <f>IF(U107="",0,AVERAGE(U$10:U107))</f>
        <v>0</v>
      </c>
      <c r="W107" s="15">
        <f>IF(U106="",0,VAR(U$10:U107))</f>
        <v>0</v>
      </c>
      <c r="Y107" s="2"/>
      <c r="Z107" s="15" t="str">
        <f t="shared" si="44"/>
        <v/>
      </c>
      <c r="AA107" s="15">
        <f>IF(Z107="",0,AVERAGE(Z$10:Z107))</f>
        <v>0</v>
      </c>
      <c r="AB107" s="15">
        <f>IF(Z106="",0,VAR(Z$10:Z107))</f>
        <v>0</v>
      </c>
      <c r="AD107" s="2"/>
      <c r="AE107" s="15" t="str">
        <f t="shared" si="50"/>
        <v/>
      </c>
      <c r="AF107" s="15">
        <f>IF(AE107="",0,AVERAGE(AE$10:AE107))</f>
        <v>0</v>
      </c>
      <c r="AG107" s="15">
        <f>IF(AE106="",0,VAR(AE$10:AE107))</f>
        <v>0</v>
      </c>
      <c r="AI107" s="2"/>
      <c r="AJ107" s="15" t="str">
        <f t="shared" si="45"/>
        <v/>
      </c>
      <c r="AK107" s="15">
        <f>IF(AJ107="",0,AVERAGE(AJ$10:AJ107))</f>
        <v>0</v>
      </c>
      <c r="AL107" s="15">
        <f>IF(AJ106="",0,VAR(AJ$10:AJ107))</f>
        <v>0</v>
      </c>
      <c r="AN107" s="2"/>
      <c r="AO107" s="15" t="str">
        <f t="shared" si="46"/>
        <v/>
      </c>
      <c r="AP107" s="15">
        <f>IF(AO107="",0,AVERAGE(AO$10:AO107))</f>
        <v>0</v>
      </c>
      <c r="AQ107" s="15">
        <f>IF(AO106="",0,VAR(AO$10:AO107))</f>
        <v>0</v>
      </c>
      <c r="AS107" s="2"/>
      <c r="AT107" s="15" t="str">
        <f t="shared" si="47"/>
        <v/>
      </c>
      <c r="AU107" s="15">
        <f>IF(AT107="",0,AVERAGE(AT$10:AT107))</f>
        <v>0</v>
      </c>
      <c r="AV107" s="15">
        <f>IF(AT106="",0,VAR(AT$10:AT107))</f>
        <v>0</v>
      </c>
      <c r="AX107" s="2"/>
      <c r="AY107" s="15" t="str">
        <f t="shared" si="48"/>
        <v/>
      </c>
      <c r="AZ107" s="15">
        <f>IF(AY107="",0,AVERAGE(AY$10:AY107))</f>
        <v>0</v>
      </c>
      <c r="BA107" s="15">
        <f>IF(AY106="",0,VAR(AY$10:AY107))</f>
        <v>0</v>
      </c>
    </row>
    <row r="108" spans="3:53" x14ac:dyDescent="0.25">
      <c r="C108" s="2"/>
      <c r="E108" s="2"/>
      <c r="F108" s="15"/>
      <c r="G108" s="15">
        <f>IF(F108="",0,AVERAGE($F$10:F108))</f>
        <v>0</v>
      </c>
      <c r="H108" s="15">
        <f>IF(F107="",0,VAR($F$10:F108))</f>
        <v>0</v>
      </c>
      <c r="J108" s="2"/>
      <c r="K108" s="15" t="str">
        <f t="shared" si="42"/>
        <v/>
      </c>
      <c r="L108" s="15">
        <f>IF(K108="",0,AVERAGE($K$10:K108))</f>
        <v>0</v>
      </c>
      <c r="M108" s="15">
        <f>IF(K107="",0,VAR($K$10:K108))</f>
        <v>0</v>
      </c>
      <c r="O108" s="2"/>
      <c r="P108" s="15" t="str">
        <f t="shared" si="43"/>
        <v/>
      </c>
      <c r="Q108" s="15">
        <f>IF(P108="",0,AVERAGE(P$10:P108))</f>
        <v>0</v>
      </c>
      <c r="R108" s="15">
        <f>IF(P107="",0,VAR(P$10:P108))</f>
        <v>0</v>
      </c>
      <c r="T108" s="2"/>
      <c r="U108" s="15" t="str">
        <f t="shared" si="49"/>
        <v/>
      </c>
      <c r="V108" s="15">
        <f>IF(U108="",0,AVERAGE(U$10:U108))</f>
        <v>0</v>
      </c>
      <c r="W108" s="15">
        <f>IF(U107="",0,VAR(U$10:U108))</f>
        <v>0</v>
      </c>
      <c r="Y108" s="2"/>
      <c r="Z108" s="15" t="str">
        <f t="shared" si="44"/>
        <v/>
      </c>
      <c r="AA108" s="15">
        <f>IF(Z108="",0,AVERAGE(Z$10:Z108))</f>
        <v>0</v>
      </c>
      <c r="AB108" s="15">
        <f>IF(Z107="",0,VAR(Z$10:Z108))</f>
        <v>0</v>
      </c>
      <c r="AD108" s="2"/>
      <c r="AE108" s="15" t="str">
        <f t="shared" si="50"/>
        <v/>
      </c>
      <c r="AF108" s="15">
        <f>IF(AE108="",0,AVERAGE(AE$10:AE108))</f>
        <v>0</v>
      </c>
      <c r="AG108" s="15">
        <f>IF(AE107="",0,VAR(AE$10:AE108))</f>
        <v>0</v>
      </c>
      <c r="AI108" s="2"/>
      <c r="AJ108" s="15" t="str">
        <f t="shared" si="45"/>
        <v/>
      </c>
      <c r="AK108" s="15">
        <f>IF(AJ108="",0,AVERAGE(AJ$10:AJ108))</f>
        <v>0</v>
      </c>
      <c r="AL108" s="15">
        <f>IF(AJ107="",0,VAR(AJ$10:AJ108))</f>
        <v>0</v>
      </c>
      <c r="AN108" s="2"/>
      <c r="AO108" s="15" t="str">
        <f t="shared" si="46"/>
        <v/>
      </c>
      <c r="AP108" s="15">
        <f>IF(AO108="",0,AVERAGE(AO$10:AO108))</f>
        <v>0</v>
      </c>
      <c r="AQ108" s="15">
        <f>IF(AO107="",0,VAR(AO$10:AO108))</f>
        <v>0</v>
      </c>
      <c r="AS108" s="2"/>
      <c r="AT108" s="15" t="str">
        <f t="shared" si="47"/>
        <v/>
      </c>
      <c r="AU108" s="15">
        <f>IF(AT108="",0,AVERAGE(AT$10:AT108))</f>
        <v>0</v>
      </c>
      <c r="AV108" s="15">
        <f>IF(AT107="",0,VAR(AT$10:AT108))</f>
        <v>0</v>
      </c>
      <c r="AX108" s="2"/>
      <c r="AY108" s="15" t="str">
        <f t="shared" si="48"/>
        <v/>
      </c>
      <c r="AZ108" s="15">
        <f>IF(AY108="",0,AVERAGE(AY$10:AY108))</f>
        <v>0</v>
      </c>
      <c r="BA108" s="15">
        <f>IF(AY107="",0,VAR(AY$10:AY108))</f>
        <v>0</v>
      </c>
    </row>
    <row r="109" spans="3:53" x14ac:dyDescent="0.25">
      <c r="C109" s="2"/>
      <c r="E109" s="2"/>
      <c r="F109" s="15" t="str">
        <f t="shared" ref="F109" si="61">IF(E109="","",+(E109-E108)/E108)</f>
        <v/>
      </c>
      <c r="G109" s="15">
        <f>IF(F109="",0,AVERAGE($F$10:F109))</f>
        <v>0</v>
      </c>
      <c r="H109" s="15">
        <f>IF(F108="",0,VAR($F$10:F109))</f>
        <v>0</v>
      </c>
      <c r="J109" s="2"/>
      <c r="K109" s="15" t="str">
        <f t="shared" si="42"/>
        <v/>
      </c>
      <c r="L109" s="15">
        <f>IF(K109="",0,AVERAGE($K$10:K109))</f>
        <v>0</v>
      </c>
      <c r="M109" s="15">
        <f>IF(K108="",0,VAR($K$10:K109))</f>
        <v>0</v>
      </c>
      <c r="O109" s="2"/>
      <c r="P109" s="15" t="str">
        <f t="shared" si="43"/>
        <v/>
      </c>
      <c r="Q109" s="15">
        <f>IF(P109="",0,AVERAGE(P$10:P109))</f>
        <v>0</v>
      </c>
      <c r="R109" s="15">
        <f>IF(P108="",0,VAR(P$10:P109))</f>
        <v>0</v>
      </c>
      <c r="T109" s="2"/>
      <c r="U109" s="15" t="str">
        <f t="shared" si="49"/>
        <v/>
      </c>
      <c r="V109" s="15">
        <f>IF(U109="",0,AVERAGE(U$10:U109))</f>
        <v>0</v>
      </c>
      <c r="W109" s="15">
        <f>IF(U108="",0,VAR(U$10:U109))</f>
        <v>0</v>
      </c>
      <c r="Y109" s="2"/>
      <c r="Z109" s="15" t="str">
        <f t="shared" si="44"/>
        <v/>
      </c>
      <c r="AA109" s="15">
        <f>IF(Z109="",0,AVERAGE(Z$10:Z109))</f>
        <v>0</v>
      </c>
      <c r="AB109" s="15">
        <f>IF(Z108="",0,VAR(Z$10:Z109))</f>
        <v>0</v>
      </c>
      <c r="AD109" s="2"/>
      <c r="AE109" s="15" t="str">
        <f t="shared" si="50"/>
        <v/>
      </c>
      <c r="AF109" s="15">
        <f>IF(AE109="",0,AVERAGE(AE$10:AE109))</f>
        <v>0</v>
      </c>
      <c r="AG109" s="15">
        <f>IF(AE108="",0,VAR(AE$10:AE109))</f>
        <v>0</v>
      </c>
      <c r="AI109" s="2"/>
      <c r="AJ109" s="15" t="str">
        <f t="shared" si="45"/>
        <v/>
      </c>
      <c r="AK109" s="15">
        <f>IF(AJ109="",0,AVERAGE(AJ$10:AJ109))</f>
        <v>0</v>
      </c>
      <c r="AL109" s="15">
        <f>IF(AJ108="",0,VAR(AJ$10:AJ109))</f>
        <v>0</v>
      </c>
      <c r="AN109" s="2"/>
      <c r="AO109" s="15" t="str">
        <f t="shared" si="46"/>
        <v/>
      </c>
      <c r="AP109" s="15">
        <f>IF(AO109="",0,AVERAGE(AO$10:AO109))</f>
        <v>0</v>
      </c>
      <c r="AQ109" s="15">
        <f>IF(AO108="",0,VAR(AO$10:AO109))</f>
        <v>0</v>
      </c>
      <c r="AS109" s="2"/>
      <c r="AT109" s="15" t="str">
        <f t="shared" si="47"/>
        <v/>
      </c>
      <c r="AU109" s="15">
        <f>IF(AT109="",0,AVERAGE(AT$10:AT109))</f>
        <v>0</v>
      </c>
      <c r="AV109" s="15">
        <f>IF(AT108="",0,VAR(AT$10:AT109))</f>
        <v>0</v>
      </c>
      <c r="AX109" s="2"/>
      <c r="AY109" s="15" t="str">
        <f t="shared" si="48"/>
        <v/>
      </c>
      <c r="AZ109" s="15">
        <f>IF(AY109="",0,AVERAGE(AY$10:AY109))</f>
        <v>0</v>
      </c>
      <c r="BA109" s="15">
        <f>IF(AY108="",0,VAR(AY$10:AY109))</f>
        <v>0</v>
      </c>
    </row>
    <row r="110" spans="3:53" x14ac:dyDescent="0.25">
      <c r="C110" s="2"/>
      <c r="E110" s="2"/>
      <c r="F110" s="15" t="str">
        <f t="shared" si="41"/>
        <v/>
      </c>
      <c r="G110" s="15">
        <f>IF(F110="",0,AVERAGE($F$10:F110))</f>
        <v>0</v>
      </c>
      <c r="H110" s="15">
        <f>IF(F109="",0,VAR($F$10:F110))</f>
        <v>0</v>
      </c>
      <c r="J110" s="2"/>
      <c r="K110" s="15" t="str">
        <f t="shared" si="42"/>
        <v/>
      </c>
      <c r="L110" s="15">
        <f>IF(K110="",0,AVERAGE($K$10:K110))</f>
        <v>0</v>
      </c>
      <c r="M110" s="15">
        <f>IF(K109="",0,VAR($K$10:K110))</f>
        <v>0</v>
      </c>
      <c r="O110" s="2"/>
      <c r="P110" s="15" t="str">
        <f t="shared" si="43"/>
        <v/>
      </c>
      <c r="Q110" s="15">
        <f>IF(P110="",0,AVERAGE(P$10:P110))</f>
        <v>0</v>
      </c>
      <c r="R110" s="15">
        <f>IF(P109="",0,VAR(P$10:P110))</f>
        <v>0</v>
      </c>
      <c r="T110" s="2"/>
      <c r="U110" s="15" t="str">
        <f t="shared" si="49"/>
        <v/>
      </c>
      <c r="V110" s="15">
        <f>IF(U110="",0,AVERAGE(U$10:U110))</f>
        <v>0</v>
      </c>
      <c r="W110" s="15">
        <f>IF(U109="",0,VAR(U$10:U110))</f>
        <v>0</v>
      </c>
      <c r="Y110" s="2"/>
      <c r="Z110" s="15" t="str">
        <f t="shared" si="44"/>
        <v/>
      </c>
      <c r="AA110" s="15">
        <f>IF(Z110="",0,AVERAGE(Z$10:Z110))</f>
        <v>0</v>
      </c>
      <c r="AB110" s="15">
        <f>IF(Z109="",0,VAR(Z$10:Z110))</f>
        <v>0</v>
      </c>
      <c r="AD110" s="2"/>
      <c r="AE110" s="15" t="str">
        <f t="shared" si="50"/>
        <v/>
      </c>
      <c r="AF110" s="15">
        <f>IF(AE110="",0,AVERAGE(AE$10:AE110))</f>
        <v>0</v>
      </c>
      <c r="AG110" s="15">
        <f>IF(AE109="",0,VAR(AE$10:AE110))</f>
        <v>0</v>
      </c>
      <c r="AI110" s="2"/>
      <c r="AJ110" s="15" t="str">
        <f t="shared" si="45"/>
        <v/>
      </c>
      <c r="AK110" s="15">
        <f>IF(AJ110="",0,AVERAGE(AJ$10:AJ110))</f>
        <v>0</v>
      </c>
      <c r="AL110" s="15">
        <f>IF(AJ109="",0,VAR(AJ$10:AJ110))</f>
        <v>0</v>
      </c>
      <c r="AN110" s="2"/>
      <c r="AO110" s="15" t="str">
        <f t="shared" si="46"/>
        <v/>
      </c>
      <c r="AP110" s="15">
        <f>IF(AO110="",0,AVERAGE(AO$10:AO110))</f>
        <v>0</v>
      </c>
      <c r="AQ110" s="15">
        <f>IF(AO109="",0,VAR(AO$10:AO110))</f>
        <v>0</v>
      </c>
      <c r="AS110" s="2"/>
      <c r="AT110" s="15" t="str">
        <f t="shared" si="47"/>
        <v/>
      </c>
      <c r="AU110" s="15">
        <f>IF(AT110="",0,AVERAGE(AT$10:AT110))</f>
        <v>0</v>
      </c>
      <c r="AV110" s="15">
        <f>IF(AT109="",0,VAR(AT$10:AT110))</f>
        <v>0</v>
      </c>
      <c r="AX110" s="2"/>
      <c r="AY110" s="15" t="str">
        <f t="shared" si="48"/>
        <v/>
      </c>
      <c r="AZ110" s="15">
        <f>IF(AY110="",0,AVERAGE(AY$10:AY110))</f>
        <v>0</v>
      </c>
      <c r="BA110" s="15">
        <f>IF(AY109="",0,VAR(AY$10:AY110))</f>
        <v>0</v>
      </c>
    </row>
    <row r="111" spans="3:53" x14ac:dyDescent="0.25">
      <c r="C111" s="2"/>
      <c r="E111" s="2"/>
      <c r="F111" s="15"/>
      <c r="G111" s="15">
        <f>IF(F111="",0,AVERAGE($F$10:F111))</f>
        <v>0</v>
      </c>
      <c r="H111" s="15">
        <f>IF(F110="",0,VAR($F$10:F111))</f>
        <v>0</v>
      </c>
      <c r="J111" s="2"/>
      <c r="K111" s="15" t="str">
        <f t="shared" si="42"/>
        <v/>
      </c>
      <c r="L111" s="15">
        <f>IF(K111="",0,AVERAGE($K$10:K111))</f>
        <v>0</v>
      </c>
      <c r="M111" s="15">
        <f>IF(K110="",0,VAR($K$10:K111))</f>
        <v>0</v>
      </c>
      <c r="O111" s="2"/>
      <c r="P111" s="15" t="str">
        <f t="shared" si="43"/>
        <v/>
      </c>
      <c r="Q111" s="15">
        <f>IF(P111="",0,AVERAGE(P$10:P111))</f>
        <v>0</v>
      </c>
      <c r="R111" s="15">
        <f>IF(P110="",0,VAR(P$10:P111))</f>
        <v>0</v>
      </c>
      <c r="T111" s="2"/>
      <c r="U111" s="15" t="str">
        <f t="shared" si="49"/>
        <v/>
      </c>
      <c r="V111" s="15">
        <f>IF(U111="",0,AVERAGE(U$10:U111))</f>
        <v>0</v>
      </c>
      <c r="W111" s="15">
        <f>IF(U110="",0,VAR(U$10:U111))</f>
        <v>0</v>
      </c>
      <c r="Y111" s="2"/>
      <c r="Z111" s="15" t="str">
        <f t="shared" si="44"/>
        <v/>
      </c>
      <c r="AA111" s="15">
        <f>IF(Z111="",0,AVERAGE(Z$10:Z111))</f>
        <v>0</v>
      </c>
      <c r="AB111" s="15">
        <f>IF(Z110="",0,VAR(Z$10:Z111))</f>
        <v>0</v>
      </c>
      <c r="AD111" s="2"/>
      <c r="AE111" s="15" t="str">
        <f t="shared" si="50"/>
        <v/>
      </c>
      <c r="AF111" s="15">
        <f>IF(AE111="",0,AVERAGE(AE$10:AE111))</f>
        <v>0</v>
      </c>
      <c r="AG111" s="15">
        <f>IF(AE110="",0,VAR(AE$10:AE111))</f>
        <v>0</v>
      </c>
      <c r="AI111" s="2"/>
      <c r="AJ111" s="15" t="str">
        <f t="shared" si="45"/>
        <v/>
      </c>
      <c r="AK111" s="15">
        <f>IF(AJ111="",0,AVERAGE(AJ$10:AJ111))</f>
        <v>0</v>
      </c>
      <c r="AL111" s="15">
        <f>IF(AJ110="",0,VAR(AJ$10:AJ111))</f>
        <v>0</v>
      </c>
      <c r="AN111" s="2"/>
      <c r="AO111" s="15" t="str">
        <f t="shared" si="46"/>
        <v/>
      </c>
      <c r="AP111" s="15">
        <f>IF(AO111="",0,AVERAGE(AO$10:AO111))</f>
        <v>0</v>
      </c>
      <c r="AQ111" s="15">
        <f>IF(AO110="",0,VAR(AO$10:AO111))</f>
        <v>0</v>
      </c>
      <c r="AS111" s="2"/>
      <c r="AT111" s="15" t="str">
        <f t="shared" si="47"/>
        <v/>
      </c>
      <c r="AU111" s="15">
        <f>IF(AT111="",0,AVERAGE(AT$10:AT111))</f>
        <v>0</v>
      </c>
      <c r="AV111" s="15">
        <f>IF(AT110="",0,VAR(AT$10:AT111))</f>
        <v>0</v>
      </c>
      <c r="AX111" s="2"/>
      <c r="AY111" s="15" t="str">
        <f t="shared" si="48"/>
        <v/>
      </c>
      <c r="AZ111" s="15">
        <f>IF(AY111="",0,AVERAGE(AY$10:AY111))</f>
        <v>0</v>
      </c>
      <c r="BA111" s="15">
        <f>IF(AY110="",0,VAR(AY$10:AY111))</f>
        <v>0</v>
      </c>
    </row>
    <row r="112" spans="3:53" x14ac:dyDescent="0.25">
      <c r="C112" s="2"/>
      <c r="E112" s="2"/>
      <c r="F112" s="15" t="str">
        <f t="shared" ref="F112" si="62">IF(E112="","",+(E112-E111)/E111)</f>
        <v/>
      </c>
      <c r="G112" s="15">
        <f>IF(F112="",0,AVERAGE($F$10:F112))</f>
        <v>0</v>
      </c>
      <c r="H112" s="15">
        <f>IF(F111="",0,VAR($F$10:F112))</f>
        <v>0</v>
      </c>
      <c r="J112" s="2"/>
      <c r="K112" s="15" t="str">
        <f t="shared" si="42"/>
        <v/>
      </c>
      <c r="L112" s="15">
        <f>IF(K112="",0,AVERAGE($K$10:K112))</f>
        <v>0</v>
      </c>
      <c r="M112" s="15">
        <f>IF(K111="",0,VAR($K$10:K112))</f>
        <v>0</v>
      </c>
      <c r="O112" s="2"/>
      <c r="P112" s="15" t="str">
        <f t="shared" si="43"/>
        <v/>
      </c>
      <c r="Q112" s="15">
        <f>IF(P112="",0,AVERAGE(P$10:P112))</f>
        <v>0</v>
      </c>
      <c r="R112" s="15">
        <f>IF(P111="",0,VAR(P$10:P112))</f>
        <v>0</v>
      </c>
      <c r="T112" s="2"/>
      <c r="U112" s="15" t="str">
        <f t="shared" si="49"/>
        <v/>
      </c>
      <c r="V112" s="15">
        <f>IF(U112="",0,AVERAGE(U$10:U112))</f>
        <v>0</v>
      </c>
      <c r="W112" s="15">
        <f>IF(U111="",0,VAR(U$10:U112))</f>
        <v>0</v>
      </c>
      <c r="Y112" s="2"/>
      <c r="Z112" s="15" t="str">
        <f t="shared" si="44"/>
        <v/>
      </c>
      <c r="AA112" s="15">
        <f>IF(Z112="",0,AVERAGE(Z$10:Z112))</f>
        <v>0</v>
      </c>
      <c r="AB112" s="15">
        <f>IF(Z111="",0,VAR(Z$10:Z112))</f>
        <v>0</v>
      </c>
      <c r="AD112" s="2"/>
      <c r="AE112" s="15" t="str">
        <f t="shared" si="50"/>
        <v/>
      </c>
      <c r="AF112" s="15">
        <f>IF(AE112="",0,AVERAGE(AE$10:AE112))</f>
        <v>0</v>
      </c>
      <c r="AG112" s="15">
        <f>IF(AE111="",0,VAR(AE$10:AE112))</f>
        <v>0</v>
      </c>
      <c r="AI112" s="2"/>
      <c r="AJ112" s="15" t="str">
        <f t="shared" si="45"/>
        <v/>
      </c>
      <c r="AK112" s="15">
        <f>IF(AJ112="",0,AVERAGE(AJ$10:AJ112))</f>
        <v>0</v>
      </c>
      <c r="AL112" s="15">
        <f>IF(AJ111="",0,VAR(AJ$10:AJ112))</f>
        <v>0</v>
      </c>
      <c r="AN112" s="2"/>
      <c r="AO112" s="15" t="str">
        <f t="shared" si="46"/>
        <v/>
      </c>
      <c r="AP112" s="15">
        <f>IF(AO112="",0,AVERAGE(AO$10:AO112))</f>
        <v>0</v>
      </c>
      <c r="AQ112" s="15">
        <f>IF(AO111="",0,VAR(AO$10:AO112))</f>
        <v>0</v>
      </c>
      <c r="AS112" s="2"/>
      <c r="AT112" s="15" t="str">
        <f t="shared" si="47"/>
        <v/>
      </c>
      <c r="AU112" s="15">
        <f>IF(AT112="",0,AVERAGE(AT$10:AT112))</f>
        <v>0</v>
      </c>
      <c r="AV112" s="15">
        <f>IF(AT111="",0,VAR(AT$10:AT112))</f>
        <v>0</v>
      </c>
      <c r="AX112" s="2"/>
      <c r="AY112" s="15" t="str">
        <f t="shared" si="48"/>
        <v/>
      </c>
      <c r="AZ112" s="15">
        <f>IF(AY112="",0,AVERAGE(AY$10:AY112))</f>
        <v>0</v>
      </c>
      <c r="BA112" s="15">
        <f>IF(AY111="",0,VAR(AY$10:AY112))</f>
        <v>0</v>
      </c>
    </row>
    <row r="113" spans="3:53" x14ac:dyDescent="0.25">
      <c r="C113" s="2"/>
      <c r="E113" s="2"/>
      <c r="F113" s="15" t="str">
        <f t="shared" si="41"/>
        <v/>
      </c>
      <c r="G113" s="15">
        <f>IF(F113="",0,AVERAGE($F$10:F113))</f>
        <v>0</v>
      </c>
      <c r="H113" s="15">
        <f>IF(F112="",0,VAR($F$10:F113))</f>
        <v>0</v>
      </c>
      <c r="J113" s="2"/>
      <c r="K113" s="15" t="str">
        <f t="shared" si="42"/>
        <v/>
      </c>
      <c r="L113" s="15">
        <f>IF(K113="",0,AVERAGE($K$10:K113))</f>
        <v>0</v>
      </c>
      <c r="M113" s="15">
        <f>IF(K112="",0,VAR($K$10:K113))</f>
        <v>0</v>
      </c>
      <c r="O113" s="2"/>
      <c r="P113" s="15" t="str">
        <f t="shared" si="43"/>
        <v/>
      </c>
      <c r="Q113" s="15">
        <f>IF(P113="",0,AVERAGE(P$10:P113))</f>
        <v>0</v>
      </c>
      <c r="R113" s="15">
        <f>IF(P112="",0,VAR(P$10:P113))</f>
        <v>0</v>
      </c>
      <c r="T113" s="2"/>
      <c r="U113" s="15" t="str">
        <f t="shared" si="49"/>
        <v/>
      </c>
      <c r="V113" s="15">
        <f>IF(U113="",0,AVERAGE(U$10:U113))</f>
        <v>0</v>
      </c>
      <c r="W113" s="15">
        <f>IF(U112="",0,VAR(U$10:U113))</f>
        <v>0</v>
      </c>
      <c r="Y113" s="2"/>
      <c r="Z113" s="15" t="str">
        <f t="shared" si="44"/>
        <v/>
      </c>
      <c r="AA113" s="15">
        <f>IF(Z113="",0,AVERAGE(Z$10:Z113))</f>
        <v>0</v>
      </c>
      <c r="AB113" s="15">
        <f>IF(Z112="",0,VAR(Z$10:Z113))</f>
        <v>0</v>
      </c>
      <c r="AD113" s="2"/>
      <c r="AE113" s="15" t="str">
        <f t="shared" si="50"/>
        <v/>
      </c>
      <c r="AF113" s="15">
        <f>IF(AE113="",0,AVERAGE(AE$10:AE113))</f>
        <v>0</v>
      </c>
      <c r="AG113" s="15">
        <f>IF(AE112="",0,VAR(AE$10:AE113))</f>
        <v>0</v>
      </c>
      <c r="AI113" s="2"/>
      <c r="AJ113" s="15" t="str">
        <f t="shared" si="45"/>
        <v/>
      </c>
      <c r="AK113" s="15">
        <f>IF(AJ113="",0,AVERAGE(AJ$10:AJ113))</f>
        <v>0</v>
      </c>
      <c r="AL113" s="15">
        <f>IF(AJ112="",0,VAR(AJ$10:AJ113))</f>
        <v>0</v>
      </c>
      <c r="AN113" s="2"/>
      <c r="AO113" s="15" t="str">
        <f t="shared" si="46"/>
        <v/>
      </c>
      <c r="AP113" s="15">
        <f>IF(AO113="",0,AVERAGE(AO$10:AO113))</f>
        <v>0</v>
      </c>
      <c r="AQ113" s="15">
        <f>IF(AO112="",0,VAR(AO$10:AO113))</f>
        <v>0</v>
      </c>
      <c r="AS113" s="2"/>
      <c r="AT113" s="15" t="str">
        <f t="shared" si="47"/>
        <v/>
      </c>
      <c r="AU113" s="15">
        <f>IF(AT113="",0,AVERAGE(AT$10:AT113))</f>
        <v>0</v>
      </c>
      <c r="AV113" s="15">
        <f>IF(AT112="",0,VAR(AT$10:AT113))</f>
        <v>0</v>
      </c>
      <c r="AX113" s="2"/>
      <c r="AY113" s="15" t="str">
        <f t="shared" si="48"/>
        <v/>
      </c>
      <c r="AZ113" s="15">
        <f>IF(AY113="",0,AVERAGE(AY$10:AY113))</f>
        <v>0</v>
      </c>
      <c r="BA113" s="15">
        <f>IF(AY112="",0,VAR(AY$10:AY113))</f>
        <v>0</v>
      </c>
    </row>
    <row r="114" spans="3:53" x14ac:dyDescent="0.25">
      <c r="C114" s="2"/>
      <c r="E114" s="2"/>
      <c r="F114" s="15"/>
      <c r="G114" s="15">
        <f>IF(F114="",0,AVERAGE($F$10:F114))</f>
        <v>0</v>
      </c>
      <c r="H114" s="15">
        <f>IF(F113="",0,VAR($F$10:F114))</f>
        <v>0</v>
      </c>
      <c r="J114" s="2"/>
      <c r="K114" s="15" t="str">
        <f t="shared" si="42"/>
        <v/>
      </c>
      <c r="L114" s="15">
        <f>IF(K114="",0,AVERAGE($K$10:K114))</f>
        <v>0</v>
      </c>
      <c r="M114" s="15">
        <f>IF(K113="",0,VAR($K$10:K114))</f>
        <v>0</v>
      </c>
      <c r="O114" s="2"/>
      <c r="P114" s="15" t="str">
        <f t="shared" si="43"/>
        <v/>
      </c>
      <c r="Q114" s="15">
        <f>IF(P114="",0,AVERAGE(P$10:P114))</f>
        <v>0</v>
      </c>
      <c r="R114" s="15">
        <f>IF(P113="",0,VAR(P$10:P114))</f>
        <v>0</v>
      </c>
      <c r="T114" s="2"/>
      <c r="U114" s="15" t="str">
        <f t="shared" si="49"/>
        <v/>
      </c>
      <c r="V114" s="15">
        <f>IF(U114="",0,AVERAGE(U$10:U114))</f>
        <v>0</v>
      </c>
      <c r="W114" s="15">
        <f>IF(U113="",0,VAR(U$10:U114))</f>
        <v>0</v>
      </c>
      <c r="Y114" s="2"/>
      <c r="Z114" s="15" t="str">
        <f t="shared" si="44"/>
        <v/>
      </c>
      <c r="AA114" s="15">
        <f>IF(Z114="",0,AVERAGE(Z$10:Z114))</f>
        <v>0</v>
      </c>
      <c r="AB114" s="15">
        <f>IF(Z113="",0,VAR(Z$10:Z114))</f>
        <v>0</v>
      </c>
      <c r="AD114" s="2"/>
      <c r="AE114" s="15" t="str">
        <f t="shared" si="50"/>
        <v/>
      </c>
      <c r="AF114" s="15">
        <f>IF(AE114="",0,AVERAGE(AE$10:AE114))</f>
        <v>0</v>
      </c>
      <c r="AG114" s="15">
        <f>IF(AE113="",0,VAR(AE$10:AE114))</f>
        <v>0</v>
      </c>
      <c r="AI114" s="2"/>
      <c r="AJ114" s="15" t="str">
        <f t="shared" si="45"/>
        <v/>
      </c>
      <c r="AK114" s="15">
        <f>IF(AJ114="",0,AVERAGE(AJ$10:AJ114))</f>
        <v>0</v>
      </c>
      <c r="AL114" s="15">
        <f>IF(AJ113="",0,VAR(AJ$10:AJ114))</f>
        <v>0</v>
      </c>
      <c r="AN114" s="2"/>
      <c r="AO114" s="15" t="str">
        <f t="shared" si="46"/>
        <v/>
      </c>
      <c r="AP114" s="15">
        <f>IF(AO114="",0,AVERAGE(AO$10:AO114))</f>
        <v>0</v>
      </c>
      <c r="AQ114" s="15">
        <f>IF(AO113="",0,VAR(AO$10:AO114))</f>
        <v>0</v>
      </c>
      <c r="AS114" s="2"/>
      <c r="AT114" s="15" t="str">
        <f t="shared" si="47"/>
        <v/>
      </c>
      <c r="AU114" s="15">
        <f>IF(AT114="",0,AVERAGE(AT$10:AT114))</f>
        <v>0</v>
      </c>
      <c r="AV114" s="15">
        <f>IF(AT113="",0,VAR(AT$10:AT114))</f>
        <v>0</v>
      </c>
      <c r="AX114" s="2"/>
      <c r="AY114" s="15" t="str">
        <f t="shared" si="48"/>
        <v/>
      </c>
      <c r="AZ114" s="15">
        <f>IF(AY114="",0,AVERAGE(AY$10:AY114))</f>
        <v>0</v>
      </c>
      <c r="BA114" s="15">
        <f>IF(AY113="",0,VAR(AY$10:AY114))</f>
        <v>0</v>
      </c>
    </row>
    <row r="115" spans="3:53" x14ac:dyDescent="0.25">
      <c r="C115" s="2"/>
      <c r="E115" s="2"/>
      <c r="F115" s="15" t="str">
        <f t="shared" ref="F115" si="63">IF(E115="","",+(E115-E114)/E114)</f>
        <v/>
      </c>
      <c r="G115" s="15">
        <f>IF(F115="",0,AVERAGE($F$10:F115))</f>
        <v>0</v>
      </c>
      <c r="H115" s="15">
        <f>IF(F114="",0,VAR($F$10:F115))</f>
        <v>0</v>
      </c>
      <c r="J115" s="2"/>
      <c r="K115" s="15" t="str">
        <f t="shared" si="42"/>
        <v/>
      </c>
      <c r="L115" s="15">
        <f>IF(K115="",0,AVERAGE($K$10:K115))</f>
        <v>0</v>
      </c>
      <c r="M115" s="15">
        <f>IF(K114="",0,VAR($K$10:K115))</f>
        <v>0</v>
      </c>
      <c r="O115" s="2"/>
      <c r="P115" s="15" t="str">
        <f t="shared" si="43"/>
        <v/>
      </c>
      <c r="Q115" s="15">
        <f>IF(P115="",0,AVERAGE(P$10:P115))</f>
        <v>0</v>
      </c>
      <c r="R115" s="15">
        <f>IF(P114="",0,VAR(P$10:P115))</f>
        <v>0</v>
      </c>
      <c r="T115" s="2"/>
      <c r="U115" s="15" t="str">
        <f t="shared" si="49"/>
        <v/>
      </c>
      <c r="V115" s="15">
        <f>IF(U115="",0,AVERAGE(U$10:U115))</f>
        <v>0</v>
      </c>
      <c r="W115" s="15">
        <f>IF(U114="",0,VAR(U$10:U115))</f>
        <v>0</v>
      </c>
      <c r="Y115" s="2"/>
      <c r="Z115" s="15" t="str">
        <f t="shared" si="44"/>
        <v/>
      </c>
      <c r="AA115" s="15">
        <f>IF(Z115="",0,AVERAGE(Z$10:Z115))</f>
        <v>0</v>
      </c>
      <c r="AB115" s="15">
        <f>IF(Z114="",0,VAR(Z$10:Z115))</f>
        <v>0</v>
      </c>
      <c r="AD115" s="2"/>
      <c r="AE115" s="15" t="str">
        <f t="shared" si="50"/>
        <v/>
      </c>
      <c r="AF115" s="15">
        <f>IF(AE115="",0,AVERAGE(AE$10:AE115))</f>
        <v>0</v>
      </c>
      <c r="AG115" s="15">
        <f>IF(AE114="",0,VAR(AE$10:AE115))</f>
        <v>0</v>
      </c>
      <c r="AI115" s="2"/>
      <c r="AJ115" s="15" t="str">
        <f t="shared" si="45"/>
        <v/>
      </c>
      <c r="AK115" s="15">
        <f>IF(AJ115="",0,AVERAGE(AJ$10:AJ115))</f>
        <v>0</v>
      </c>
      <c r="AL115" s="15">
        <f>IF(AJ114="",0,VAR(AJ$10:AJ115))</f>
        <v>0</v>
      </c>
      <c r="AN115" s="2"/>
      <c r="AO115" s="15" t="str">
        <f t="shared" si="46"/>
        <v/>
      </c>
      <c r="AP115" s="15">
        <f>IF(AO115="",0,AVERAGE(AO$10:AO115))</f>
        <v>0</v>
      </c>
      <c r="AQ115" s="15">
        <f>IF(AO114="",0,VAR(AO$10:AO115))</f>
        <v>0</v>
      </c>
      <c r="AS115" s="2"/>
      <c r="AT115" s="15" t="str">
        <f t="shared" si="47"/>
        <v/>
      </c>
      <c r="AU115" s="15">
        <f>IF(AT115="",0,AVERAGE(AT$10:AT115))</f>
        <v>0</v>
      </c>
      <c r="AV115" s="15">
        <f>IF(AT114="",0,VAR(AT$10:AT115))</f>
        <v>0</v>
      </c>
      <c r="AX115" s="2"/>
      <c r="AY115" s="15" t="str">
        <f t="shared" si="48"/>
        <v/>
      </c>
      <c r="AZ115" s="15">
        <f>IF(AY115="",0,AVERAGE(AY$10:AY115))</f>
        <v>0</v>
      </c>
      <c r="BA115" s="15">
        <f>IF(AY114="",0,VAR(AY$10:AY115))</f>
        <v>0</v>
      </c>
    </row>
    <row r="116" spans="3:53" x14ac:dyDescent="0.25">
      <c r="C116" s="2"/>
      <c r="E116" s="2"/>
      <c r="F116" s="15" t="str">
        <f t="shared" si="41"/>
        <v/>
      </c>
      <c r="G116" s="15">
        <f>IF(F116="",0,AVERAGE($F$10:F116))</f>
        <v>0</v>
      </c>
      <c r="H116" s="15">
        <f>IF(F115="",0,VAR($F$10:F116))</f>
        <v>0</v>
      </c>
      <c r="J116" s="2"/>
      <c r="K116" s="15" t="str">
        <f t="shared" si="42"/>
        <v/>
      </c>
      <c r="L116" s="15">
        <f>IF(K116="",0,AVERAGE($K$10:K116))</f>
        <v>0</v>
      </c>
      <c r="M116" s="15">
        <f>IF(K115="",0,VAR($K$10:K116))</f>
        <v>0</v>
      </c>
      <c r="O116" s="2"/>
      <c r="P116" s="15" t="str">
        <f t="shared" si="43"/>
        <v/>
      </c>
      <c r="Q116" s="15">
        <f>IF(P116="",0,AVERAGE(P$10:P116))</f>
        <v>0</v>
      </c>
      <c r="R116" s="15">
        <f>IF(P115="",0,VAR(P$10:P116))</f>
        <v>0</v>
      </c>
      <c r="T116" s="2"/>
      <c r="U116" s="15" t="str">
        <f t="shared" si="49"/>
        <v/>
      </c>
      <c r="V116" s="15">
        <f>IF(U116="",0,AVERAGE(U$10:U116))</f>
        <v>0</v>
      </c>
      <c r="W116" s="15">
        <f>IF(U115="",0,VAR(U$10:U116))</f>
        <v>0</v>
      </c>
      <c r="Y116" s="2"/>
      <c r="Z116" s="15" t="str">
        <f t="shared" si="44"/>
        <v/>
      </c>
      <c r="AA116" s="15">
        <f>IF(Z116="",0,AVERAGE(Z$10:Z116))</f>
        <v>0</v>
      </c>
      <c r="AB116" s="15">
        <f>IF(Z115="",0,VAR(Z$10:Z116))</f>
        <v>0</v>
      </c>
      <c r="AD116" s="2"/>
      <c r="AE116" s="15" t="str">
        <f t="shared" si="50"/>
        <v/>
      </c>
      <c r="AF116" s="15">
        <f>IF(AE116="",0,AVERAGE(AE$10:AE116))</f>
        <v>0</v>
      </c>
      <c r="AG116" s="15">
        <f>IF(AE115="",0,VAR(AE$10:AE116))</f>
        <v>0</v>
      </c>
      <c r="AI116" s="2"/>
      <c r="AJ116" s="15" t="str">
        <f t="shared" si="45"/>
        <v/>
      </c>
      <c r="AK116" s="15">
        <f>IF(AJ116="",0,AVERAGE(AJ$10:AJ116))</f>
        <v>0</v>
      </c>
      <c r="AL116" s="15">
        <f>IF(AJ115="",0,VAR(AJ$10:AJ116))</f>
        <v>0</v>
      </c>
      <c r="AN116" s="2"/>
      <c r="AO116" s="15" t="str">
        <f t="shared" si="46"/>
        <v/>
      </c>
      <c r="AP116" s="15">
        <f>IF(AO116="",0,AVERAGE(AO$10:AO116))</f>
        <v>0</v>
      </c>
      <c r="AQ116" s="15">
        <f>IF(AO115="",0,VAR(AO$10:AO116))</f>
        <v>0</v>
      </c>
      <c r="AS116" s="2"/>
      <c r="AT116" s="15" t="str">
        <f t="shared" si="47"/>
        <v/>
      </c>
      <c r="AU116" s="15">
        <f>IF(AT116="",0,AVERAGE(AT$10:AT116))</f>
        <v>0</v>
      </c>
      <c r="AV116" s="15">
        <f>IF(AT115="",0,VAR(AT$10:AT116))</f>
        <v>0</v>
      </c>
      <c r="AX116" s="2"/>
      <c r="AY116" s="15" t="str">
        <f t="shared" si="48"/>
        <v/>
      </c>
      <c r="AZ116" s="15">
        <f>IF(AY116="",0,AVERAGE(AY$10:AY116))</f>
        <v>0</v>
      </c>
      <c r="BA116" s="15">
        <f>IF(AY115="",0,VAR(AY$10:AY116))</f>
        <v>0</v>
      </c>
    </row>
    <row r="117" spans="3:53" x14ac:dyDescent="0.25">
      <c r="C117" s="2"/>
      <c r="E117" s="2"/>
      <c r="F117" s="15"/>
      <c r="G117" s="15">
        <f>IF(F117="",0,AVERAGE($F$10:F117))</f>
        <v>0</v>
      </c>
      <c r="H117" s="15">
        <f>IF(F116="",0,VAR($F$10:F117))</f>
        <v>0</v>
      </c>
      <c r="J117" s="2"/>
      <c r="K117" s="15" t="str">
        <f t="shared" si="42"/>
        <v/>
      </c>
      <c r="L117" s="15">
        <f>IF(K117="",0,AVERAGE($K$10:K117))</f>
        <v>0</v>
      </c>
      <c r="M117" s="15">
        <f>IF(K116="",0,VAR($K$10:K117))</f>
        <v>0</v>
      </c>
      <c r="O117" s="2"/>
      <c r="P117" s="15" t="str">
        <f t="shared" si="43"/>
        <v/>
      </c>
      <c r="Q117" s="15">
        <f>IF(P117="",0,AVERAGE(P$10:P117))</f>
        <v>0</v>
      </c>
      <c r="R117" s="15">
        <f>IF(P116="",0,VAR(P$10:P117))</f>
        <v>0</v>
      </c>
      <c r="T117" s="2"/>
      <c r="U117" s="15" t="str">
        <f t="shared" si="49"/>
        <v/>
      </c>
      <c r="V117" s="15">
        <f>IF(U117="",0,AVERAGE(U$10:U117))</f>
        <v>0</v>
      </c>
      <c r="W117" s="15">
        <f>IF(U116="",0,VAR(U$10:U117))</f>
        <v>0</v>
      </c>
      <c r="Y117" s="2"/>
      <c r="Z117" s="15" t="str">
        <f t="shared" si="44"/>
        <v/>
      </c>
      <c r="AA117" s="15">
        <f>IF(Z117="",0,AVERAGE(Z$10:Z117))</f>
        <v>0</v>
      </c>
      <c r="AB117" s="15">
        <f>IF(Z116="",0,VAR(Z$10:Z117))</f>
        <v>0</v>
      </c>
      <c r="AD117" s="2"/>
      <c r="AE117" s="15" t="str">
        <f t="shared" si="50"/>
        <v/>
      </c>
      <c r="AF117" s="15">
        <f>IF(AE117="",0,AVERAGE(AE$10:AE117))</f>
        <v>0</v>
      </c>
      <c r="AG117" s="15">
        <f>IF(AE116="",0,VAR(AE$10:AE117))</f>
        <v>0</v>
      </c>
      <c r="AI117" s="2"/>
      <c r="AJ117" s="15" t="str">
        <f t="shared" si="45"/>
        <v/>
      </c>
      <c r="AK117" s="15">
        <f>IF(AJ117="",0,AVERAGE(AJ$10:AJ117))</f>
        <v>0</v>
      </c>
      <c r="AL117" s="15">
        <f>IF(AJ116="",0,VAR(AJ$10:AJ117))</f>
        <v>0</v>
      </c>
      <c r="AN117" s="2"/>
      <c r="AO117" s="15" t="str">
        <f t="shared" si="46"/>
        <v/>
      </c>
      <c r="AP117" s="15">
        <f>IF(AO117="",0,AVERAGE(AO$10:AO117))</f>
        <v>0</v>
      </c>
      <c r="AQ117" s="15">
        <f>IF(AO116="",0,VAR(AO$10:AO117))</f>
        <v>0</v>
      </c>
      <c r="AS117" s="2"/>
      <c r="AT117" s="15" t="str">
        <f t="shared" si="47"/>
        <v/>
      </c>
      <c r="AU117" s="15">
        <f>IF(AT117="",0,AVERAGE(AT$10:AT117))</f>
        <v>0</v>
      </c>
      <c r="AV117" s="15">
        <f>IF(AT116="",0,VAR(AT$10:AT117))</f>
        <v>0</v>
      </c>
      <c r="AX117" s="2"/>
      <c r="AY117" s="15" t="str">
        <f t="shared" si="48"/>
        <v/>
      </c>
      <c r="AZ117" s="15">
        <f>IF(AY117="",0,AVERAGE(AY$10:AY117))</f>
        <v>0</v>
      </c>
      <c r="BA117" s="15">
        <f>IF(AY116="",0,VAR(AY$10:AY117))</f>
        <v>0</v>
      </c>
    </row>
    <row r="118" spans="3:53" x14ac:dyDescent="0.25">
      <c r="C118" s="2"/>
      <c r="E118" s="2"/>
      <c r="F118" s="15" t="str">
        <f t="shared" ref="F118" si="64">IF(E118="","",+(E118-E117)/E117)</f>
        <v/>
      </c>
      <c r="G118" s="15">
        <f>IF(F118="",0,AVERAGE($F$10:F118))</f>
        <v>0</v>
      </c>
      <c r="H118" s="15">
        <f>IF(F117="",0,VAR($F$10:F118))</f>
        <v>0</v>
      </c>
      <c r="J118" s="2"/>
      <c r="K118" s="15" t="str">
        <f t="shared" si="42"/>
        <v/>
      </c>
      <c r="L118" s="15">
        <f>IF(K118="",0,AVERAGE($K$10:K118))</f>
        <v>0</v>
      </c>
      <c r="M118" s="15">
        <f>IF(K117="",0,VAR($K$10:K118))</f>
        <v>0</v>
      </c>
      <c r="O118" s="2"/>
      <c r="P118" s="15" t="str">
        <f t="shared" si="43"/>
        <v/>
      </c>
      <c r="Q118" s="15">
        <f>IF(P118="",0,AVERAGE(P$10:P118))</f>
        <v>0</v>
      </c>
      <c r="R118" s="15">
        <f>IF(P117="",0,VAR(P$10:P118))</f>
        <v>0</v>
      </c>
      <c r="T118" s="2"/>
      <c r="U118" s="15" t="str">
        <f t="shared" si="49"/>
        <v/>
      </c>
      <c r="V118" s="15">
        <f>IF(U118="",0,AVERAGE(U$10:U118))</f>
        <v>0</v>
      </c>
      <c r="W118" s="15">
        <f>IF(U117="",0,VAR(U$10:U118))</f>
        <v>0</v>
      </c>
      <c r="Y118" s="2"/>
      <c r="Z118" s="15" t="str">
        <f t="shared" si="44"/>
        <v/>
      </c>
      <c r="AA118" s="15">
        <f>IF(Z118="",0,AVERAGE(Z$10:Z118))</f>
        <v>0</v>
      </c>
      <c r="AB118" s="15">
        <f>IF(Z117="",0,VAR(Z$10:Z118))</f>
        <v>0</v>
      </c>
      <c r="AD118" s="2"/>
      <c r="AE118" s="15" t="str">
        <f t="shared" si="50"/>
        <v/>
      </c>
      <c r="AF118" s="15">
        <f>IF(AE118="",0,AVERAGE(AE$10:AE118))</f>
        <v>0</v>
      </c>
      <c r="AG118" s="15">
        <f>IF(AE117="",0,VAR(AE$10:AE118))</f>
        <v>0</v>
      </c>
      <c r="AI118" s="2"/>
      <c r="AJ118" s="15" t="str">
        <f t="shared" si="45"/>
        <v/>
      </c>
      <c r="AK118" s="15">
        <f>IF(AJ118="",0,AVERAGE(AJ$10:AJ118))</f>
        <v>0</v>
      </c>
      <c r="AL118" s="15">
        <f>IF(AJ117="",0,VAR(AJ$10:AJ118))</f>
        <v>0</v>
      </c>
      <c r="AN118" s="2"/>
      <c r="AO118" s="15" t="str">
        <f t="shared" si="46"/>
        <v/>
      </c>
      <c r="AP118" s="15">
        <f>IF(AO118="",0,AVERAGE(AO$10:AO118))</f>
        <v>0</v>
      </c>
      <c r="AQ118" s="15">
        <f>IF(AO117="",0,VAR(AO$10:AO118))</f>
        <v>0</v>
      </c>
      <c r="AS118" s="2"/>
      <c r="AT118" s="15" t="str">
        <f t="shared" si="47"/>
        <v/>
      </c>
      <c r="AU118" s="15">
        <f>IF(AT118="",0,AVERAGE(AT$10:AT118))</f>
        <v>0</v>
      </c>
      <c r="AV118" s="15">
        <f>IF(AT117="",0,VAR(AT$10:AT118))</f>
        <v>0</v>
      </c>
      <c r="AX118" s="2"/>
      <c r="AY118" s="15" t="str">
        <f t="shared" si="48"/>
        <v/>
      </c>
      <c r="AZ118" s="15">
        <f>IF(AY118="",0,AVERAGE(AY$10:AY118))</f>
        <v>0</v>
      </c>
      <c r="BA118" s="15">
        <f>IF(AY117="",0,VAR(AY$10:AY118))</f>
        <v>0</v>
      </c>
    </row>
    <row r="119" spans="3:53" x14ac:dyDescent="0.25">
      <c r="C119" s="2"/>
      <c r="E119" s="2"/>
      <c r="F119" s="15" t="str">
        <f t="shared" si="41"/>
        <v/>
      </c>
      <c r="G119" s="15">
        <f>IF(F119="",0,AVERAGE($F$10:F119))</f>
        <v>0</v>
      </c>
      <c r="H119" s="15">
        <f>IF(F118="",0,VAR($F$10:F119))</f>
        <v>0</v>
      </c>
      <c r="J119" s="2"/>
      <c r="K119" s="15" t="str">
        <f t="shared" si="42"/>
        <v/>
      </c>
      <c r="L119" s="15">
        <f>IF(K119="",0,AVERAGE($K$10:K119))</f>
        <v>0</v>
      </c>
      <c r="M119" s="15">
        <f>IF(K118="",0,VAR($K$10:K119))</f>
        <v>0</v>
      </c>
      <c r="O119" s="2"/>
      <c r="P119" s="15" t="str">
        <f t="shared" si="43"/>
        <v/>
      </c>
      <c r="Q119" s="15">
        <f>IF(P119="",0,AVERAGE(P$10:P119))</f>
        <v>0</v>
      </c>
      <c r="R119" s="15">
        <f>IF(P118="",0,VAR(P$10:P119))</f>
        <v>0</v>
      </c>
      <c r="T119" s="2"/>
      <c r="U119" s="15" t="str">
        <f t="shared" si="49"/>
        <v/>
      </c>
      <c r="V119" s="15">
        <f>IF(U119="",0,AVERAGE(U$10:U119))</f>
        <v>0</v>
      </c>
      <c r="W119" s="15">
        <f>IF(U118="",0,VAR(U$10:U119))</f>
        <v>0</v>
      </c>
      <c r="Y119" s="2"/>
      <c r="Z119" s="15" t="str">
        <f t="shared" si="44"/>
        <v/>
      </c>
      <c r="AA119" s="15">
        <f>IF(Z119="",0,AVERAGE(Z$10:Z119))</f>
        <v>0</v>
      </c>
      <c r="AB119" s="15">
        <f>IF(Z118="",0,VAR(Z$10:Z119))</f>
        <v>0</v>
      </c>
      <c r="AD119" s="2"/>
      <c r="AE119" s="15" t="str">
        <f t="shared" si="50"/>
        <v/>
      </c>
      <c r="AF119" s="15">
        <f>IF(AE119="",0,AVERAGE(AE$10:AE119))</f>
        <v>0</v>
      </c>
      <c r="AG119" s="15">
        <f>IF(AE118="",0,VAR(AE$10:AE119))</f>
        <v>0</v>
      </c>
      <c r="AI119" s="2"/>
      <c r="AJ119" s="15" t="str">
        <f t="shared" si="45"/>
        <v/>
      </c>
      <c r="AK119" s="15">
        <f>IF(AJ119="",0,AVERAGE(AJ$10:AJ119))</f>
        <v>0</v>
      </c>
      <c r="AL119" s="15">
        <f>IF(AJ118="",0,VAR(AJ$10:AJ119))</f>
        <v>0</v>
      </c>
      <c r="AN119" s="2"/>
      <c r="AO119" s="15" t="str">
        <f t="shared" si="46"/>
        <v/>
      </c>
      <c r="AP119" s="15">
        <f>IF(AO119="",0,AVERAGE(AO$10:AO119))</f>
        <v>0</v>
      </c>
      <c r="AQ119" s="15">
        <f>IF(AO118="",0,VAR(AO$10:AO119))</f>
        <v>0</v>
      </c>
      <c r="AS119" s="2"/>
      <c r="AT119" s="15" t="str">
        <f t="shared" si="47"/>
        <v/>
      </c>
      <c r="AU119" s="15">
        <f>IF(AT119="",0,AVERAGE(AT$10:AT119))</f>
        <v>0</v>
      </c>
      <c r="AV119" s="15">
        <f>IF(AT118="",0,VAR(AT$10:AT119))</f>
        <v>0</v>
      </c>
      <c r="AX119" s="2"/>
      <c r="AY119" s="15" t="str">
        <f t="shared" si="48"/>
        <v/>
      </c>
      <c r="AZ119" s="15">
        <f>IF(AY119="",0,AVERAGE(AY$10:AY119))</f>
        <v>0</v>
      </c>
      <c r="BA119" s="15">
        <f>IF(AY118="",0,VAR(AY$10:AY119))</f>
        <v>0</v>
      </c>
    </row>
    <row r="120" spans="3:53" x14ac:dyDescent="0.25">
      <c r="C120" s="2"/>
      <c r="E120" s="2"/>
      <c r="F120" s="15"/>
      <c r="G120" s="15">
        <f>IF(F120="",0,AVERAGE($F$10:F120))</f>
        <v>0</v>
      </c>
      <c r="H120" s="15">
        <f>IF(F119="",0,VAR($F$10:F120))</f>
        <v>0</v>
      </c>
      <c r="J120" s="2"/>
      <c r="K120" s="15" t="str">
        <f t="shared" si="42"/>
        <v/>
      </c>
      <c r="L120" s="15">
        <f>IF(K120="",0,AVERAGE($K$10:K120))</f>
        <v>0</v>
      </c>
      <c r="M120" s="15">
        <f>IF(K119="",0,VAR($K$10:K120))</f>
        <v>0</v>
      </c>
      <c r="O120" s="2"/>
      <c r="P120" s="15" t="str">
        <f t="shared" si="43"/>
        <v/>
      </c>
      <c r="Q120" s="15">
        <f>IF(P120="",0,AVERAGE(P$10:P120))</f>
        <v>0</v>
      </c>
      <c r="R120" s="15">
        <f>IF(P119="",0,VAR(P$10:P120))</f>
        <v>0</v>
      </c>
      <c r="T120" s="2"/>
      <c r="U120" s="15" t="str">
        <f t="shared" si="49"/>
        <v/>
      </c>
      <c r="V120" s="15">
        <f>IF(U120="",0,AVERAGE(U$10:U120))</f>
        <v>0</v>
      </c>
      <c r="W120" s="15">
        <f>IF(U119="",0,VAR(U$10:U120))</f>
        <v>0</v>
      </c>
      <c r="Y120" s="2"/>
      <c r="Z120" s="15" t="str">
        <f t="shared" si="44"/>
        <v/>
      </c>
      <c r="AA120" s="15">
        <f>IF(Z120="",0,AVERAGE(Z$10:Z120))</f>
        <v>0</v>
      </c>
      <c r="AB120" s="15">
        <f>IF(Z119="",0,VAR(Z$10:Z120))</f>
        <v>0</v>
      </c>
      <c r="AD120" s="2"/>
      <c r="AE120" s="15" t="str">
        <f t="shared" si="50"/>
        <v/>
      </c>
      <c r="AF120" s="15">
        <f>IF(AE120="",0,AVERAGE(AE$10:AE120))</f>
        <v>0</v>
      </c>
      <c r="AG120" s="15">
        <f>IF(AE119="",0,VAR(AE$10:AE120))</f>
        <v>0</v>
      </c>
      <c r="AI120" s="2"/>
      <c r="AJ120" s="15" t="str">
        <f t="shared" si="45"/>
        <v/>
      </c>
      <c r="AK120" s="15">
        <f>IF(AJ120="",0,AVERAGE(AJ$10:AJ120))</f>
        <v>0</v>
      </c>
      <c r="AL120" s="15">
        <f>IF(AJ119="",0,VAR(AJ$10:AJ120))</f>
        <v>0</v>
      </c>
      <c r="AN120" s="2"/>
      <c r="AO120" s="15" t="str">
        <f t="shared" si="46"/>
        <v/>
      </c>
      <c r="AP120" s="15">
        <f>IF(AO120="",0,AVERAGE(AO$10:AO120))</f>
        <v>0</v>
      </c>
      <c r="AQ120" s="15">
        <f>IF(AO119="",0,VAR(AO$10:AO120))</f>
        <v>0</v>
      </c>
      <c r="AS120" s="2"/>
      <c r="AT120" s="15" t="str">
        <f t="shared" si="47"/>
        <v/>
      </c>
      <c r="AU120" s="15">
        <f>IF(AT120="",0,AVERAGE(AT$10:AT120))</f>
        <v>0</v>
      </c>
      <c r="AV120" s="15">
        <f>IF(AT119="",0,VAR(AT$10:AT120))</f>
        <v>0</v>
      </c>
      <c r="AX120" s="2"/>
      <c r="AY120" s="15" t="str">
        <f t="shared" si="48"/>
        <v/>
      </c>
      <c r="AZ120" s="15">
        <f>IF(AY120="",0,AVERAGE(AY$10:AY120))</f>
        <v>0</v>
      </c>
      <c r="BA120" s="15">
        <f>IF(AY119="",0,VAR(AY$10:AY120))</f>
        <v>0</v>
      </c>
    </row>
    <row r="121" spans="3:53" x14ac:dyDescent="0.25">
      <c r="C121" s="2"/>
      <c r="E121" s="2"/>
      <c r="F121" s="15" t="str">
        <f t="shared" ref="F121" si="65">IF(E121="","",+(E121-E120)/E120)</f>
        <v/>
      </c>
      <c r="G121" s="15">
        <f>IF(F121="",0,AVERAGE($F$10:F121))</f>
        <v>0</v>
      </c>
      <c r="H121" s="15">
        <f>IF(F120="",0,VAR($F$10:F121))</f>
        <v>0</v>
      </c>
      <c r="J121" s="2"/>
      <c r="K121" s="15" t="str">
        <f t="shared" si="42"/>
        <v/>
      </c>
      <c r="L121" s="15">
        <f>IF(K121="",0,AVERAGE($K$10:K121))</f>
        <v>0</v>
      </c>
      <c r="M121" s="15">
        <f>IF(K120="",0,VAR($K$10:K121))</f>
        <v>0</v>
      </c>
      <c r="O121" s="2"/>
      <c r="P121" s="15" t="str">
        <f t="shared" si="43"/>
        <v/>
      </c>
      <c r="Q121" s="15">
        <f>IF(P121="",0,AVERAGE(P$10:P121))</f>
        <v>0</v>
      </c>
      <c r="R121" s="15">
        <f>IF(P120="",0,VAR(P$10:P121))</f>
        <v>0</v>
      </c>
      <c r="T121" s="2"/>
      <c r="U121" s="15" t="str">
        <f t="shared" si="49"/>
        <v/>
      </c>
      <c r="V121" s="15">
        <f>IF(U121="",0,AVERAGE(U$10:U121))</f>
        <v>0</v>
      </c>
      <c r="W121" s="15">
        <f>IF(U120="",0,VAR(U$10:U121))</f>
        <v>0</v>
      </c>
      <c r="Y121" s="2"/>
      <c r="Z121" s="15" t="str">
        <f t="shared" si="44"/>
        <v/>
      </c>
      <c r="AA121" s="15">
        <f>IF(Z121="",0,AVERAGE(Z$10:Z121))</f>
        <v>0</v>
      </c>
      <c r="AB121" s="15">
        <f>IF(Z120="",0,VAR(Z$10:Z121))</f>
        <v>0</v>
      </c>
      <c r="AD121" s="2"/>
      <c r="AE121" s="15" t="str">
        <f t="shared" si="50"/>
        <v/>
      </c>
      <c r="AF121" s="15">
        <f>IF(AE121="",0,AVERAGE(AE$10:AE121))</f>
        <v>0</v>
      </c>
      <c r="AG121" s="15">
        <f>IF(AE120="",0,VAR(AE$10:AE121))</f>
        <v>0</v>
      </c>
      <c r="AI121" s="2"/>
      <c r="AJ121" s="15" t="str">
        <f t="shared" si="45"/>
        <v/>
      </c>
      <c r="AK121" s="15">
        <f>IF(AJ121="",0,AVERAGE(AJ$10:AJ121))</f>
        <v>0</v>
      </c>
      <c r="AL121" s="15">
        <f>IF(AJ120="",0,VAR(AJ$10:AJ121))</f>
        <v>0</v>
      </c>
      <c r="AN121" s="2"/>
      <c r="AO121" s="15" t="str">
        <f t="shared" si="46"/>
        <v/>
      </c>
      <c r="AP121" s="15">
        <f>IF(AO121="",0,AVERAGE(AO$10:AO121))</f>
        <v>0</v>
      </c>
      <c r="AQ121" s="15">
        <f>IF(AO120="",0,VAR(AO$10:AO121))</f>
        <v>0</v>
      </c>
      <c r="AS121" s="2"/>
      <c r="AT121" s="15" t="str">
        <f t="shared" si="47"/>
        <v/>
      </c>
      <c r="AU121" s="15">
        <f>IF(AT121="",0,AVERAGE(AT$10:AT121))</f>
        <v>0</v>
      </c>
      <c r="AV121" s="15">
        <f>IF(AT120="",0,VAR(AT$10:AT121))</f>
        <v>0</v>
      </c>
      <c r="AX121" s="2"/>
      <c r="AY121" s="15" t="str">
        <f t="shared" si="48"/>
        <v/>
      </c>
      <c r="AZ121" s="15">
        <f>IF(AY121="",0,AVERAGE(AY$10:AY121))</f>
        <v>0</v>
      </c>
      <c r="BA121" s="15">
        <f>IF(AY120="",0,VAR(AY$10:AY121))</f>
        <v>0</v>
      </c>
    </row>
    <row r="122" spans="3:53" x14ac:dyDescent="0.25">
      <c r="C122" s="2"/>
      <c r="E122" s="2"/>
      <c r="F122" s="15" t="str">
        <f t="shared" si="41"/>
        <v/>
      </c>
      <c r="G122" s="15">
        <f>IF(F122="",0,AVERAGE($F$10:F122))</f>
        <v>0</v>
      </c>
      <c r="H122" s="15">
        <f>IF(F121="",0,VAR($F$10:F122))</f>
        <v>0</v>
      </c>
      <c r="J122" s="2"/>
      <c r="K122" s="15" t="str">
        <f t="shared" si="42"/>
        <v/>
      </c>
      <c r="L122" s="15">
        <f>IF(K122="",0,AVERAGE($K$10:K122))</f>
        <v>0</v>
      </c>
      <c r="M122" s="15">
        <f>IF(K121="",0,VAR($K$10:K122))</f>
        <v>0</v>
      </c>
      <c r="O122" s="2"/>
      <c r="P122" s="15" t="str">
        <f t="shared" si="43"/>
        <v/>
      </c>
      <c r="Q122" s="15">
        <f>IF(P122="",0,AVERAGE(P$10:P122))</f>
        <v>0</v>
      </c>
      <c r="R122" s="15">
        <f>IF(P121="",0,VAR(P$10:P122))</f>
        <v>0</v>
      </c>
      <c r="T122" s="2"/>
      <c r="U122" s="15" t="str">
        <f t="shared" si="49"/>
        <v/>
      </c>
      <c r="V122" s="15">
        <f>IF(U122="",0,AVERAGE(U$10:U122))</f>
        <v>0</v>
      </c>
      <c r="W122" s="15">
        <f>IF(U121="",0,VAR(U$10:U122))</f>
        <v>0</v>
      </c>
      <c r="Y122" s="2"/>
      <c r="Z122" s="15" t="str">
        <f t="shared" si="44"/>
        <v/>
      </c>
      <c r="AA122" s="15">
        <f>IF(Z122="",0,AVERAGE(Z$10:Z122))</f>
        <v>0</v>
      </c>
      <c r="AB122" s="15">
        <f>IF(Z121="",0,VAR(Z$10:Z122))</f>
        <v>0</v>
      </c>
      <c r="AD122" s="2"/>
      <c r="AE122" s="15" t="str">
        <f t="shared" si="50"/>
        <v/>
      </c>
      <c r="AF122" s="15">
        <f>IF(AE122="",0,AVERAGE(AE$10:AE122))</f>
        <v>0</v>
      </c>
      <c r="AG122" s="15">
        <f>IF(AE121="",0,VAR(AE$10:AE122))</f>
        <v>0</v>
      </c>
      <c r="AI122" s="2"/>
      <c r="AJ122" s="15" t="str">
        <f t="shared" si="45"/>
        <v/>
      </c>
      <c r="AK122" s="15">
        <f>IF(AJ122="",0,AVERAGE(AJ$10:AJ122))</f>
        <v>0</v>
      </c>
      <c r="AL122" s="15">
        <f>IF(AJ121="",0,VAR(AJ$10:AJ122))</f>
        <v>0</v>
      </c>
      <c r="AN122" s="2"/>
      <c r="AO122" s="15" t="str">
        <f t="shared" si="46"/>
        <v/>
      </c>
      <c r="AP122" s="15">
        <f>IF(AO122="",0,AVERAGE(AO$10:AO122))</f>
        <v>0</v>
      </c>
      <c r="AQ122" s="15">
        <f>IF(AO121="",0,VAR(AO$10:AO122))</f>
        <v>0</v>
      </c>
      <c r="AS122" s="2"/>
      <c r="AT122" s="15" t="str">
        <f t="shared" si="47"/>
        <v/>
      </c>
      <c r="AU122" s="15">
        <f>IF(AT122="",0,AVERAGE(AT$10:AT122))</f>
        <v>0</v>
      </c>
      <c r="AV122" s="15">
        <f>IF(AT121="",0,VAR(AT$10:AT122))</f>
        <v>0</v>
      </c>
      <c r="AX122" s="2"/>
      <c r="AY122" s="15" t="str">
        <f t="shared" si="48"/>
        <v/>
      </c>
      <c r="AZ122" s="15">
        <f>IF(AY122="",0,AVERAGE(AY$10:AY122))</f>
        <v>0</v>
      </c>
      <c r="BA122" s="15">
        <f>IF(AY121="",0,VAR(AY$10:AY122))</f>
        <v>0</v>
      </c>
    </row>
    <row r="123" spans="3:53" x14ac:dyDescent="0.25">
      <c r="C123" s="2"/>
      <c r="E123" s="2"/>
      <c r="F123" s="15"/>
      <c r="G123" s="15">
        <f>IF(F123="",0,AVERAGE($F$10:F123))</f>
        <v>0</v>
      </c>
      <c r="H123" s="15">
        <f>IF(F122="",0,VAR($F$10:F123))</f>
        <v>0</v>
      </c>
      <c r="J123" s="2"/>
      <c r="K123" s="15" t="str">
        <f t="shared" si="42"/>
        <v/>
      </c>
      <c r="L123" s="15">
        <f>IF(K123="",0,AVERAGE($K$10:K123))</f>
        <v>0</v>
      </c>
      <c r="M123" s="15">
        <f>IF(K122="",0,VAR($K$10:K123))</f>
        <v>0</v>
      </c>
      <c r="O123" s="2"/>
      <c r="P123" s="15" t="str">
        <f t="shared" si="43"/>
        <v/>
      </c>
      <c r="Q123" s="15">
        <f>IF(P123="",0,AVERAGE(P$10:P123))</f>
        <v>0</v>
      </c>
      <c r="R123" s="15">
        <f>IF(P122="",0,VAR(P$10:P123))</f>
        <v>0</v>
      </c>
      <c r="T123" s="2"/>
      <c r="U123" s="15" t="str">
        <f t="shared" si="49"/>
        <v/>
      </c>
      <c r="V123" s="15">
        <f>IF(U123="",0,AVERAGE(U$10:U123))</f>
        <v>0</v>
      </c>
      <c r="W123" s="15">
        <f>IF(U122="",0,VAR(U$10:U123))</f>
        <v>0</v>
      </c>
      <c r="Y123" s="2"/>
      <c r="Z123" s="15" t="str">
        <f t="shared" si="44"/>
        <v/>
      </c>
      <c r="AA123" s="15">
        <f>IF(Z123="",0,AVERAGE(Z$10:Z123))</f>
        <v>0</v>
      </c>
      <c r="AB123" s="15">
        <f>IF(Z122="",0,VAR(Z$10:Z123))</f>
        <v>0</v>
      </c>
      <c r="AD123" s="2"/>
      <c r="AE123" s="15" t="str">
        <f t="shared" si="50"/>
        <v/>
      </c>
      <c r="AF123" s="15">
        <f>IF(AE123="",0,AVERAGE(AE$10:AE123))</f>
        <v>0</v>
      </c>
      <c r="AG123" s="15">
        <f>IF(AE122="",0,VAR(AE$10:AE123))</f>
        <v>0</v>
      </c>
      <c r="AI123" s="2"/>
      <c r="AJ123" s="15" t="str">
        <f t="shared" si="45"/>
        <v/>
      </c>
      <c r="AK123" s="15">
        <f>IF(AJ123="",0,AVERAGE(AJ$10:AJ123))</f>
        <v>0</v>
      </c>
      <c r="AL123" s="15">
        <f>IF(AJ122="",0,VAR(AJ$10:AJ123))</f>
        <v>0</v>
      </c>
      <c r="AN123" s="2"/>
      <c r="AO123" s="15" t="str">
        <f t="shared" si="46"/>
        <v/>
      </c>
      <c r="AP123" s="15">
        <f>IF(AO123="",0,AVERAGE(AO$10:AO123))</f>
        <v>0</v>
      </c>
      <c r="AQ123" s="15">
        <f>IF(AO122="",0,VAR(AO$10:AO123))</f>
        <v>0</v>
      </c>
      <c r="AS123" s="2"/>
      <c r="AT123" s="15" t="str">
        <f t="shared" si="47"/>
        <v/>
      </c>
      <c r="AU123" s="15">
        <f>IF(AT123="",0,AVERAGE(AT$10:AT123))</f>
        <v>0</v>
      </c>
      <c r="AV123" s="15">
        <f>IF(AT122="",0,VAR(AT$10:AT123))</f>
        <v>0</v>
      </c>
      <c r="AX123" s="2"/>
      <c r="AY123" s="15" t="str">
        <f t="shared" si="48"/>
        <v/>
      </c>
      <c r="AZ123" s="15">
        <f>IF(AY123="",0,AVERAGE(AY$10:AY123))</f>
        <v>0</v>
      </c>
      <c r="BA123" s="15">
        <f>IF(AY122="",0,VAR(AY$10:AY123))</f>
        <v>0</v>
      </c>
    </row>
    <row r="124" spans="3:53" x14ac:dyDescent="0.25">
      <c r="C124" s="2"/>
      <c r="E124" s="2"/>
      <c r="F124" s="15" t="str">
        <f t="shared" ref="F124" si="66">IF(E124="","",+(E124-E123)/E123)</f>
        <v/>
      </c>
      <c r="G124" s="15">
        <f>IF(F124="",0,AVERAGE($F$10:F124))</f>
        <v>0</v>
      </c>
      <c r="H124" s="15">
        <f>IF(F123="",0,VAR($F$10:F124))</f>
        <v>0</v>
      </c>
      <c r="J124" s="2"/>
      <c r="K124" s="15" t="str">
        <f t="shared" si="42"/>
        <v/>
      </c>
      <c r="L124" s="15">
        <f>IF(K124="",0,AVERAGE($K$10:K124))</f>
        <v>0</v>
      </c>
      <c r="M124" s="15">
        <f>IF(K123="",0,VAR($K$10:K124))</f>
        <v>0</v>
      </c>
      <c r="O124" s="2"/>
      <c r="P124" s="15" t="str">
        <f t="shared" si="43"/>
        <v/>
      </c>
      <c r="Q124" s="15">
        <f>IF(P124="",0,AVERAGE(P$10:P124))</f>
        <v>0</v>
      </c>
      <c r="R124" s="15">
        <f>IF(P123="",0,VAR(P$10:P124))</f>
        <v>0</v>
      </c>
      <c r="T124" s="2"/>
      <c r="U124" s="15" t="str">
        <f t="shared" si="49"/>
        <v/>
      </c>
      <c r="V124" s="15">
        <f>IF(U124="",0,AVERAGE(U$10:U124))</f>
        <v>0</v>
      </c>
      <c r="W124" s="15">
        <f>IF(U123="",0,VAR(U$10:U124))</f>
        <v>0</v>
      </c>
      <c r="Y124" s="2"/>
      <c r="Z124" s="15" t="str">
        <f t="shared" si="44"/>
        <v/>
      </c>
      <c r="AA124" s="15">
        <f>IF(Z124="",0,AVERAGE(Z$10:Z124))</f>
        <v>0</v>
      </c>
      <c r="AB124" s="15">
        <f>IF(Z123="",0,VAR(Z$10:Z124))</f>
        <v>0</v>
      </c>
      <c r="AD124" s="2"/>
      <c r="AE124" s="15" t="str">
        <f t="shared" si="50"/>
        <v/>
      </c>
      <c r="AF124" s="15">
        <f>IF(AE124="",0,AVERAGE(AE$10:AE124))</f>
        <v>0</v>
      </c>
      <c r="AG124" s="15">
        <f>IF(AE123="",0,VAR(AE$10:AE124))</f>
        <v>0</v>
      </c>
      <c r="AI124" s="2"/>
      <c r="AJ124" s="15" t="str">
        <f t="shared" si="45"/>
        <v/>
      </c>
      <c r="AK124" s="15">
        <f>IF(AJ124="",0,AVERAGE(AJ$10:AJ124))</f>
        <v>0</v>
      </c>
      <c r="AL124" s="15">
        <f>IF(AJ123="",0,VAR(AJ$10:AJ124))</f>
        <v>0</v>
      </c>
      <c r="AN124" s="2"/>
      <c r="AO124" s="15" t="str">
        <f t="shared" si="46"/>
        <v/>
      </c>
      <c r="AP124" s="15">
        <f>IF(AO124="",0,AVERAGE(AO$10:AO124))</f>
        <v>0</v>
      </c>
      <c r="AQ124" s="15">
        <f>IF(AO123="",0,VAR(AO$10:AO124))</f>
        <v>0</v>
      </c>
      <c r="AS124" s="2"/>
      <c r="AT124" s="15" t="str">
        <f t="shared" si="47"/>
        <v/>
      </c>
      <c r="AU124" s="15">
        <f>IF(AT124="",0,AVERAGE(AT$10:AT124))</f>
        <v>0</v>
      </c>
      <c r="AV124" s="15">
        <f>IF(AT123="",0,VAR(AT$10:AT124))</f>
        <v>0</v>
      </c>
      <c r="AX124" s="2"/>
      <c r="AY124" s="15" t="str">
        <f t="shared" si="48"/>
        <v/>
      </c>
      <c r="AZ124" s="15">
        <f>IF(AY124="",0,AVERAGE(AY$10:AY124))</f>
        <v>0</v>
      </c>
      <c r="BA124" s="15">
        <f>IF(AY123="",0,VAR(AY$10:AY124))</f>
        <v>0</v>
      </c>
    </row>
    <row r="125" spans="3:53" x14ac:dyDescent="0.25">
      <c r="C125" s="2"/>
      <c r="E125" s="2"/>
      <c r="F125" s="15" t="str">
        <f t="shared" si="41"/>
        <v/>
      </c>
      <c r="G125" s="15">
        <f>IF(F125="",0,AVERAGE($F$10:F125))</f>
        <v>0</v>
      </c>
      <c r="H125" s="15">
        <f>IF(F124="",0,VAR($F$10:F125))</f>
        <v>0</v>
      </c>
      <c r="J125" s="2"/>
      <c r="K125" s="15" t="str">
        <f t="shared" si="42"/>
        <v/>
      </c>
      <c r="L125" s="15">
        <f>IF(K125="",0,AVERAGE($K$10:K125))</f>
        <v>0</v>
      </c>
      <c r="M125" s="15">
        <f>IF(K124="",0,VAR($K$10:K125))</f>
        <v>0</v>
      </c>
      <c r="O125" s="2"/>
      <c r="P125" s="15" t="str">
        <f t="shared" si="43"/>
        <v/>
      </c>
      <c r="Q125" s="15">
        <f>IF(P125="",0,AVERAGE(P$10:P125))</f>
        <v>0</v>
      </c>
      <c r="R125" s="15">
        <f>IF(P124="",0,VAR(P$10:P125))</f>
        <v>0</v>
      </c>
      <c r="T125" s="2"/>
      <c r="U125" s="15" t="str">
        <f t="shared" si="49"/>
        <v/>
      </c>
      <c r="V125" s="15">
        <f>IF(U125="",0,AVERAGE(U$10:U125))</f>
        <v>0</v>
      </c>
      <c r="W125" s="15">
        <f>IF(U124="",0,VAR(U$10:U125))</f>
        <v>0</v>
      </c>
      <c r="Y125" s="2"/>
      <c r="Z125" s="15" t="str">
        <f t="shared" si="44"/>
        <v/>
      </c>
      <c r="AA125" s="15">
        <f>IF(Z125="",0,AVERAGE(Z$10:Z125))</f>
        <v>0</v>
      </c>
      <c r="AB125" s="15">
        <f>IF(Z124="",0,VAR(Z$10:Z125))</f>
        <v>0</v>
      </c>
      <c r="AD125" s="2"/>
      <c r="AE125" s="15" t="str">
        <f t="shared" si="50"/>
        <v/>
      </c>
      <c r="AF125" s="15">
        <f>IF(AE125="",0,AVERAGE(AE$10:AE125))</f>
        <v>0</v>
      </c>
      <c r="AG125" s="15">
        <f>IF(AE124="",0,VAR(AE$10:AE125))</f>
        <v>0</v>
      </c>
      <c r="AI125" s="2"/>
      <c r="AJ125" s="15" t="str">
        <f t="shared" si="45"/>
        <v/>
      </c>
      <c r="AK125" s="15">
        <f>IF(AJ125="",0,AVERAGE(AJ$10:AJ125))</f>
        <v>0</v>
      </c>
      <c r="AL125" s="15">
        <f>IF(AJ124="",0,VAR(AJ$10:AJ125))</f>
        <v>0</v>
      </c>
      <c r="AN125" s="2"/>
      <c r="AO125" s="15" t="str">
        <f t="shared" si="46"/>
        <v/>
      </c>
      <c r="AP125" s="15">
        <f>IF(AO125="",0,AVERAGE(AO$10:AO125))</f>
        <v>0</v>
      </c>
      <c r="AQ125" s="15">
        <f>IF(AO124="",0,VAR(AO$10:AO125))</f>
        <v>0</v>
      </c>
      <c r="AS125" s="2"/>
      <c r="AT125" s="15" t="str">
        <f t="shared" si="47"/>
        <v/>
      </c>
      <c r="AU125" s="15">
        <f>IF(AT125="",0,AVERAGE(AT$10:AT125))</f>
        <v>0</v>
      </c>
      <c r="AV125" s="15">
        <f>IF(AT124="",0,VAR(AT$10:AT125))</f>
        <v>0</v>
      </c>
      <c r="AX125" s="2"/>
      <c r="AY125" s="15" t="str">
        <f t="shared" si="48"/>
        <v/>
      </c>
      <c r="AZ125" s="15">
        <f>IF(AY125="",0,AVERAGE(AY$10:AY125))</f>
        <v>0</v>
      </c>
      <c r="BA125" s="15">
        <f>IF(AY124="",0,VAR(AY$10:AY125))</f>
        <v>0</v>
      </c>
    </row>
    <row r="126" spans="3:53" x14ac:dyDescent="0.25">
      <c r="C126" s="2"/>
      <c r="E126" s="2"/>
      <c r="F126" s="15"/>
      <c r="G126" s="15">
        <f>IF(F126="",0,AVERAGE($F$10:F126))</f>
        <v>0</v>
      </c>
      <c r="H126" s="15">
        <f>IF(F125="",0,VAR($F$10:F126))</f>
        <v>0</v>
      </c>
      <c r="J126" s="2"/>
      <c r="K126" s="15" t="str">
        <f t="shared" si="42"/>
        <v/>
      </c>
      <c r="L126" s="15">
        <f>IF(K126="",0,AVERAGE($K$10:K126))</f>
        <v>0</v>
      </c>
      <c r="M126" s="15">
        <f>IF(K125="",0,VAR($K$10:K126))</f>
        <v>0</v>
      </c>
      <c r="O126" s="2"/>
      <c r="P126" s="15" t="str">
        <f t="shared" si="43"/>
        <v/>
      </c>
      <c r="Q126" s="15">
        <f>IF(P126="",0,AVERAGE(P$10:P126))</f>
        <v>0</v>
      </c>
      <c r="R126" s="15">
        <f>IF(P125="",0,VAR(P$10:P126))</f>
        <v>0</v>
      </c>
      <c r="T126" s="2"/>
      <c r="U126" s="15" t="str">
        <f t="shared" si="49"/>
        <v/>
      </c>
      <c r="V126" s="15">
        <f>IF(U126="",0,AVERAGE(U$10:U126))</f>
        <v>0</v>
      </c>
      <c r="W126" s="15">
        <f>IF(U125="",0,VAR(U$10:U126))</f>
        <v>0</v>
      </c>
      <c r="Y126" s="2"/>
      <c r="Z126" s="15" t="str">
        <f t="shared" si="44"/>
        <v/>
      </c>
      <c r="AA126" s="15">
        <f>IF(Z126="",0,AVERAGE(Z$10:Z126))</f>
        <v>0</v>
      </c>
      <c r="AB126" s="15">
        <f>IF(Z125="",0,VAR(Z$10:Z126))</f>
        <v>0</v>
      </c>
      <c r="AD126" s="2"/>
      <c r="AE126" s="15" t="str">
        <f t="shared" si="50"/>
        <v/>
      </c>
      <c r="AF126" s="15">
        <f>IF(AE126="",0,AVERAGE(AE$10:AE126))</f>
        <v>0</v>
      </c>
      <c r="AG126" s="15">
        <f>IF(AE125="",0,VAR(AE$10:AE126))</f>
        <v>0</v>
      </c>
      <c r="AI126" s="2"/>
      <c r="AJ126" s="15" t="str">
        <f t="shared" si="45"/>
        <v/>
      </c>
      <c r="AK126" s="15">
        <f>IF(AJ126="",0,AVERAGE(AJ$10:AJ126))</f>
        <v>0</v>
      </c>
      <c r="AL126" s="15">
        <f>IF(AJ125="",0,VAR(AJ$10:AJ126))</f>
        <v>0</v>
      </c>
      <c r="AN126" s="2"/>
      <c r="AO126" s="15" t="str">
        <f t="shared" si="46"/>
        <v/>
      </c>
      <c r="AP126" s="15">
        <f>IF(AO126="",0,AVERAGE(AO$10:AO126))</f>
        <v>0</v>
      </c>
      <c r="AQ126" s="15">
        <f>IF(AO125="",0,VAR(AO$10:AO126))</f>
        <v>0</v>
      </c>
      <c r="AS126" s="2"/>
      <c r="AT126" s="15" t="str">
        <f t="shared" si="47"/>
        <v/>
      </c>
      <c r="AU126" s="15">
        <f>IF(AT126="",0,AVERAGE(AT$10:AT126))</f>
        <v>0</v>
      </c>
      <c r="AV126" s="15">
        <f>IF(AT125="",0,VAR(AT$10:AT126))</f>
        <v>0</v>
      </c>
      <c r="AX126" s="2"/>
      <c r="AY126" s="15" t="str">
        <f t="shared" si="48"/>
        <v/>
      </c>
      <c r="AZ126" s="15">
        <f>IF(AY126="",0,AVERAGE(AY$10:AY126))</f>
        <v>0</v>
      </c>
      <c r="BA126" s="15">
        <f>IF(AY125="",0,VAR(AY$10:AY126))</f>
        <v>0</v>
      </c>
    </row>
    <row r="127" spans="3:53" x14ac:dyDescent="0.25">
      <c r="C127" s="2"/>
      <c r="E127" s="2"/>
      <c r="F127" s="15" t="str">
        <f t="shared" ref="F127" si="67">IF(E127="","",+(E127-E126)/E126)</f>
        <v/>
      </c>
      <c r="G127" s="15">
        <f>IF(F127="",0,AVERAGE($F$10:F127))</f>
        <v>0</v>
      </c>
      <c r="H127" s="15">
        <f>IF(F126="",0,VAR($F$10:F127))</f>
        <v>0</v>
      </c>
      <c r="J127" s="2"/>
      <c r="K127" s="15" t="str">
        <f t="shared" si="42"/>
        <v/>
      </c>
      <c r="L127" s="15">
        <f>IF(K127="",0,AVERAGE($K$10:K127))</f>
        <v>0</v>
      </c>
      <c r="M127" s="15">
        <f>IF(K126="",0,VAR($K$10:K127))</f>
        <v>0</v>
      </c>
      <c r="O127" s="2"/>
      <c r="P127" s="15" t="str">
        <f t="shared" si="43"/>
        <v/>
      </c>
      <c r="Q127" s="15">
        <f>IF(P127="",0,AVERAGE(P$10:P127))</f>
        <v>0</v>
      </c>
      <c r="R127" s="15">
        <f>IF(P126="",0,VAR(P$10:P127))</f>
        <v>0</v>
      </c>
      <c r="T127" s="2"/>
      <c r="U127" s="15" t="str">
        <f t="shared" si="49"/>
        <v/>
      </c>
      <c r="V127" s="15">
        <f>IF(U127="",0,AVERAGE(U$10:U127))</f>
        <v>0</v>
      </c>
      <c r="W127" s="15">
        <f>IF(U126="",0,VAR(U$10:U127))</f>
        <v>0</v>
      </c>
      <c r="Y127" s="2"/>
      <c r="Z127" s="15" t="str">
        <f t="shared" si="44"/>
        <v/>
      </c>
      <c r="AA127" s="15">
        <f>IF(Z127="",0,AVERAGE(Z$10:Z127))</f>
        <v>0</v>
      </c>
      <c r="AB127" s="15">
        <f>IF(Z126="",0,VAR(Z$10:Z127))</f>
        <v>0</v>
      </c>
      <c r="AD127" s="2"/>
      <c r="AE127" s="15" t="str">
        <f t="shared" si="50"/>
        <v/>
      </c>
      <c r="AF127" s="15">
        <f>IF(AE127="",0,AVERAGE(AE$10:AE127))</f>
        <v>0</v>
      </c>
      <c r="AG127" s="15">
        <f>IF(AE126="",0,VAR(AE$10:AE127))</f>
        <v>0</v>
      </c>
      <c r="AI127" s="2"/>
      <c r="AJ127" s="15" t="str">
        <f t="shared" si="45"/>
        <v/>
      </c>
      <c r="AK127" s="15">
        <f>IF(AJ127="",0,AVERAGE(AJ$10:AJ127))</f>
        <v>0</v>
      </c>
      <c r="AL127" s="15">
        <f>IF(AJ126="",0,VAR(AJ$10:AJ127))</f>
        <v>0</v>
      </c>
      <c r="AN127" s="2"/>
      <c r="AO127" s="15" t="str">
        <f t="shared" si="46"/>
        <v/>
      </c>
      <c r="AP127" s="15">
        <f>IF(AO127="",0,AVERAGE(AO$10:AO127))</f>
        <v>0</v>
      </c>
      <c r="AQ127" s="15">
        <f>IF(AO126="",0,VAR(AO$10:AO127))</f>
        <v>0</v>
      </c>
      <c r="AS127" s="2"/>
      <c r="AT127" s="15" t="str">
        <f t="shared" si="47"/>
        <v/>
      </c>
      <c r="AU127" s="15">
        <f>IF(AT127="",0,AVERAGE(AT$10:AT127))</f>
        <v>0</v>
      </c>
      <c r="AV127" s="15">
        <f>IF(AT126="",0,VAR(AT$10:AT127))</f>
        <v>0</v>
      </c>
      <c r="AX127" s="2"/>
      <c r="AY127" s="15" t="str">
        <f t="shared" si="48"/>
        <v/>
      </c>
      <c r="AZ127" s="15">
        <f>IF(AY127="",0,AVERAGE(AY$10:AY127))</f>
        <v>0</v>
      </c>
      <c r="BA127" s="15">
        <f>IF(AY126="",0,VAR(AY$10:AY127))</f>
        <v>0</v>
      </c>
    </row>
    <row r="128" spans="3:53" x14ac:dyDescent="0.25">
      <c r="C128" s="2"/>
      <c r="E128" s="2"/>
      <c r="F128" s="15" t="str">
        <f t="shared" si="41"/>
        <v/>
      </c>
      <c r="G128" s="15">
        <f>IF(F128="",0,AVERAGE($F$10:F128))</f>
        <v>0</v>
      </c>
      <c r="H128" s="15">
        <f>IF(F127="",0,VAR($F$10:F128))</f>
        <v>0</v>
      </c>
      <c r="J128" s="2"/>
      <c r="K128" s="15" t="str">
        <f t="shared" si="42"/>
        <v/>
      </c>
      <c r="L128" s="15">
        <f>IF(K128="",0,AVERAGE($K$10:K128))</f>
        <v>0</v>
      </c>
      <c r="M128" s="15">
        <f>IF(K127="",0,VAR($K$10:K128))</f>
        <v>0</v>
      </c>
      <c r="O128" s="2"/>
      <c r="P128" s="15" t="str">
        <f t="shared" si="43"/>
        <v/>
      </c>
      <c r="Q128" s="15">
        <f>IF(P128="",0,AVERAGE(P$10:P128))</f>
        <v>0</v>
      </c>
      <c r="R128" s="15">
        <f>IF(P127="",0,VAR(P$10:P128))</f>
        <v>0</v>
      </c>
      <c r="T128" s="2"/>
      <c r="U128" s="15" t="str">
        <f t="shared" si="49"/>
        <v/>
      </c>
      <c r="V128" s="15">
        <f>IF(U128="",0,AVERAGE(U$10:U128))</f>
        <v>0</v>
      </c>
      <c r="W128" s="15">
        <f>IF(U127="",0,VAR(U$10:U128))</f>
        <v>0</v>
      </c>
      <c r="Y128" s="2"/>
      <c r="Z128" s="15" t="str">
        <f t="shared" si="44"/>
        <v/>
      </c>
      <c r="AA128" s="15">
        <f>IF(Z128="",0,AVERAGE(Z$10:Z128))</f>
        <v>0</v>
      </c>
      <c r="AB128" s="15">
        <f>IF(Z127="",0,VAR(Z$10:Z128))</f>
        <v>0</v>
      </c>
      <c r="AD128" s="2"/>
      <c r="AE128" s="15" t="str">
        <f t="shared" si="50"/>
        <v/>
      </c>
      <c r="AF128" s="15">
        <f>IF(AE128="",0,AVERAGE(AE$10:AE128))</f>
        <v>0</v>
      </c>
      <c r="AG128" s="15">
        <f>IF(AE127="",0,VAR(AE$10:AE128))</f>
        <v>0</v>
      </c>
      <c r="AI128" s="2"/>
      <c r="AJ128" s="15" t="str">
        <f t="shared" si="45"/>
        <v/>
      </c>
      <c r="AK128" s="15">
        <f>IF(AJ128="",0,AVERAGE(AJ$10:AJ128))</f>
        <v>0</v>
      </c>
      <c r="AL128" s="15">
        <f>IF(AJ127="",0,VAR(AJ$10:AJ128))</f>
        <v>0</v>
      </c>
      <c r="AN128" s="2"/>
      <c r="AO128" s="15" t="str">
        <f t="shared" si="46"/>
        <v/>
      </c>
      <c r="AP128" s="15">
        <f>IF(AO128="",0,AVERAGE(AO$10:AO128))</f>
        <v>0</v>
      </c>
      <c r="AQ128" s="15">
        <f>IF(AO127="",0,VAR(AO$10:AO128))</f>
        <v>0</v>
      </c>
      <c r="AS128" s="2"/>
      <c r="AT128" s="15" t="str">
        <f t="shared" si="47"/>
        <v/>
      </c>
      <c r="AU128" s="15">
        <f>IF(AT128="",0,AVERAGE(AT$10:AT128))</f>
        <v>0</v>
      </c>
      <c r="AV128" s="15">
        <f>IF(AT127="",0,VAR(AT$10:AT128))</f>
        <v>0</v>
      </c>
      <c r="AX128" s="2"/>
      <c r="AY128" s="15" t="str">
        <f t="shared" si="48"/>
        <v/>
      </c>
      <c r="AZ128" s="15">
        <f>IF(AY128="",0,AVERAGE(AY$10:AY128))</f>
        <v>0</v>
      </c>
      <c r="BA128" s="15">
        <f>IF(AY127="",0,VAR(AY$10:AY128))</f>
        <v>0</v>
      </c>
    </row>
    <row r="129" spans="3:53" x14ac:dyDescent="0.25">
      <c r="C129" s="2"/>
      <c r="E129" s="2"/>
      <c r="F129" s="15"/>
      <c r="G129" s="15">
        <f>IF(F129="",0,AVERAGE($F$10:F129))</f>
        <v>0</v>
      </c>
      <c r="H129" s="15">
        <f>IF(F128="",0,VAR($F$10:F129))</f>
        <v>0</v>
      </c>
      <c r="J129" s="2"/>
      <c r="K129" s="15" t="str">
        <f t="shared" si="42"/>
        <v/>
      </c>
      <c r="L129" s="15">
        <f>IF(K129="",0,AVERAGE($K$10:K129))</f>
        <v>0</v>
      </c>
      <c r="M129" s="15">
        <f>IF(K128="",0,VAR($K$10:K129))</f>
        <v>0</v>
      </c>
      <c r="O129" s="2"/>
      <c r="P129" s="15" t="str">
        <f t="shared" si="43"/>
        <v/>
      </c>
      <c r="Q129" s="15">
        <f>IF(P129="",0,AVERAGE(P$10:P129))</f>
        <v>0</v>
      </c>
      <c r="R129" s="15">
        <f>IF(P128="",0,VAR(P$10:P129))</f>
        <v>0</v>
      </c>
      <c r="T129" s="2"/>
      <c r="U129" s="15" t="str">
        <f t="shared" si="49"/>
        <v/>
      </c>
      <c r="V129" s="15">
        <f>IF(U129="",0,AVERAGE(U$10:U129))</f>
        <v>0</v>
      </c>
      <c r="W129" s="15">
        <f>IF(U128="",0,VAR(U$10:U129))</f>
        <v>0</v>
      </c>
      <c r="Y129" s="2"/>
      <c r="Z129" s="15" t="str">
        <f t="shared" si="44"/>
        <v/>
      </c>
      <c r="AA129" s="15">
        <f>IF(Z129="",0,AVERAGE(Z$10:Z129))</f>
        <v>0</v>
      </c>
      <c r="AB129" s="15">
        <f>IF(Z128="",0,VAR(Z$10:Z129))</f>
        <v>0</v>
      </c>
      <c r="AD129" s="2"/>
      <c r="AE129" s="15" t="str">
        <f t="shared" si="50"/>
        <v/>
      </c>
      <c r="AF129" s="15">
        <f>IF(AE129="",0,AVERAGE(AE$10:AE129))</f>
        <v>0</v>
      </c>
      <c r="AG129" s="15">
        <f>IF(AE128="",0,VAR(AE$10:AE129))</f>
        <v>0</v>
      </c>
      <c r="AI129" s="2"/>
      <c r="AJ129" s="15" t="str">
        <f t="shared" si="45"/>
        <v/>
      </c>
      <c r="AK129" s="15">
        <f>IF(AJ129="",0,AVERAGE(AJ$10:AJ129))</f>
        <v>0</v>
      </c>
      <c r="AL129" s="15">
        <f>IF(AJ128="",0,VAR(AJ$10:AJ129))</f>
        <v>0</v>
      </c>
      <c r="AN129" s="2"/>
      <c r="AO129" s="15" t="str">
        <f t="shared" si="46"/>
        <v/>
      </c>
      <c r="AP129" s="15">
        <f>IF(AO129="",0,AVERAGE(AO$10:AO129))</f>
        <v>0</v>
      </c>
      <c r="AQ129" s="15">
        <f>IF(AO128="",0,VAR(AO$10:AO129))</f>
        <v>0</v>
      </c>
      <c r="AS129" s="2"/>
      <c r="AT129" s="15" t="str">
        <f t="shared" si="47"/>
        <v/>
      </c>
      <c r="AU129" s="15">
        <f>IF(AT129="",0,AVERAGE(AT$10:AT129))</f>
        <v>0</v>
      </c>
      <c r="AV129" s="15">
        <f>IF(AT128="",0,VAR(AT$10:AT129))</f>
        <v>0</v>
      </c>
      <c r="AX129" s="2"/>
      <c r="AY129" s="15" t="str">
        <f t="shared" si="48"/>
        <v/>
      </c>
      <c r="AZ129" s="15">
        <f>IF(AY129="",0,AVERAGE(AY$10:AY129))</f>
        <v>0</v>
      </c>
      <c r="BA129" s="15">
        <f>IF(AY128="",0,VAR(AY$10:AY129))</f>
        <v>0</v>
      </c>
    </row>
    <row r="130" spans="3:53" x14ac:dyDescent="0.25">
      <c r="C130" s="2"/>
      <c r="E130" s="2"/>
      <c r="F130" s="15" t="str">
        <f t="shared" ref="F130" si="68">IF(E130="","",+(E130-E129)/E129)</f>
        <v/>
      </c>
      <c r="G130" s="15">
        <f>IF(F130="",0,AVERAGE($F$10:F130))</f>
        <v>0</v>
      </c>
      <c r="H130" s="15">
        <f>IF(F129="",0,VAR($F$10:F130))</f>
        <v>0</v>
      </c>
      <c r="J130" s="2"/>
      <c r="K130" s="15" t="str">
        <f t="shared" si="42"/>
        <v/>
      </c>
      <c r="L130" s="15">
        <f>IF(K130="",0,AVERAGE($K$10:K130))</f>
        <v>0</v>
      </c>
      <c r="M130" s="15">
        <f>IF(K129="",0,VAR($K$10:K130))</f>
        <v>0</v>
      </c>
      <c r="O130" s="2"/>
      <c r="P130" s="15" t="str">
        <f t="shared" si="43"/>
        <v/>
      </c>
      <c r="Q130" s="15">
        <f>IF(P130="",0,AVERAGE(P$10:P130))</f>
        <v>0</v>
      </c>
      <c r="R130" s="15">
        <f>IF(P129="",0,VAR(P$10:P130))</f>
        <v>0</v>
      </c>
      <c r="T130" s="2"/>
      <c r="U130" s="15" t="str">
        <f t="shared" si="49"/>
        <v/>
      </c>
      <c r="V130" s="15">
        <f>IF(U130="",0,AVERAGE(U$10:U130))</f>
        <v>0</v>
      </c>
      <c r="W130" s="15">
        <f>IF(U129="",0,VAR(U$10:U130))</f>
        <v>0</v>
      </c>
      <c r="Y130" s="2"/>
      <c r="Z130" s="15" t="str">
        <f t="shared" si="44"/>
        <v/>
      </c>
      <c r="AA130" s="15">
        <f>IF(Z130="",0,AVERAGE(Z$10:Z130))</f>
        <v>0</v>
      </c>
      <c r="AB130" s="15">
        <f>IF(Z129="",0,VAR(Z$10:Z130))</f>
        <v>0</v>
      </c>
      <c r="AD130" s="2"/>
      <c r="AE130" s="15" t="str">
        <f t="shared" si="50"/>
        <v/>
      </c>
      <c r="AF130" s="15">
        <f>IF(AE130="",0,AVERAGE(AE$10:AE130))</f>
        <v>0</v>
      </c>
      <c r="AG130" s="15">
        <f>IF(AE129="",0,VAR(AE$10:AE130))</f>
        <v>0</v>
      </c>
      <c r="AI130" s="2"/>
      <c r="AJ130" s="15" t="str">
        <f t="shared" si="45"/>
        <v/>
      </c>
      <c r="AK130" s="15">
        <f>IF(AJ130="",0,AVERAGE(AJ$10:AJ130))</f>
        <v>0</v>
      </c>
      <c r="AL130" s="15">
        <f>IF(AJ129="",0,VAR(AJ$10:AJ130))</f>
        <v>0</v>
      </c>
      <c r="AN130" s="2"/>
      <c r="AO130" s="15" t="str">
        <f t="shared" si="46"/>
        <v/>
      </c>
      <c r="AP130" s="15">
        <f>IF(AO130="",0,AVERAGE(AO$10:AO130))</f>
        <v>0</v>
      </c>
      <c r="AQ130" s="15">
        <f>IF(AO129="",0,VAR(AO$10:AO130))</f>
        <v>0</v>
      </c>
      <c r="AS130" s="2"/>
      <c r="AT130" s="15" t="str">
        <f t="shared" si="47"/>
        <v/>
      </c>
      <c r="AU130" s="15">
        <f>IF(AT130="",0,AVERAGE(AT$10:AT130))</f>
        <v>0</v>
      </c>
      <c r="AV130" s="15">
        <f>IF(AT129="",0,VAR(AT$10:AT130))</f>
        <v>0</v>
      </c>
      <c r="AX130" s="2"/>
      <c r="AY130" s="15" t="str">
        <f t="shared" si="48"/>
        <v/>
      </c>
      <c r="AZ130" s="15">
        <f>IF(AY130="",0,AVERAGE(AY$10:AY130))</f>
        <v>0</v>
      </c>
      <c r="BA130" s="15">
        <f>IF(AY129="",0,VAR(AY$10:AY130))</f>
        <v>0</v>
      </c>
    </row>
    <row r="131" spans="3:53" x14ac:dyDescent="0.25">
      <c r="C131" s="2"/>
      <c r="E131" s="2"/>
      <c r="F131" s="15" t="str">
        <f t="shared" si="41"/>
        <v/>
      </c>
      <c r="G131" s="15">
        <f>IF(F131="",0,AVERAGE($F$10:F131))</f>
        <v>0</v>
      </c>
      <c r="H131" s="15">
        <f>IF(F130="",0,VAR($F$10:F131))</f>
        <v>0</v>
      </c>
      <c r="J131" s="2"/>
      <c r="K131" s="15" t="str">
        <f t="shared" si="42"/>
        <v/>
      </c>
      <c r="L131" s="15">
        <f>IF(K131="",0,AVERAGE($K$10:K131))</f>
        <v>0</v>
      </c>
      <c r="M131" s="15">
        <f>IF(K130="",0,VAR($K$10:K131))</f>
        <v>0</v>
      </c>
      <c r="O131" s="2"/>
      <c r="P131" s="15" t="str">
        <f t="shared" si="43"/>
        <v/>
      </c>
      <c r="Q131" s="15">
        <f>IF(P131="",0,AVERAGE(P$10:P131))</f>
        <v>0</v>
      </c>
      <c r="R131" s="15">
        <f>IF(P130="",0,VAR(P$10:P131))</f>
        <v>0</v>
      </c>
      <c r="T131" s="2"/>
      <c r="U131" s="15" t="str">
        <f t="shared" si="49"/>
        <v/>
      </c>
      <c r="V131" s="15">
        <f>IF(U131="",0,AVERAGE(U$10:U131))</f>
        <v>0</v>
      </c>
      <c r="W131" s="15">
        <f>IF(U130="",0,VAR(U$10:U131))</f>
        <v>0</v>
      </c>
      <c r="Y131" s="2"/>
      <c r="Z131" s="15" t="str">
        <f t="shared" si="44"/>
        <v/>
      </c>
      <c r="AA131" s="15">
        <f>IF(Z131="",0,AVERAGE(Z$10:Z131))</f>
        <v>0</v>
      </c>
      <c r="AB131" s="15">
        <f>IF(Z130="",0,VAR(Z$10:Z131))</f>
        <v>0</v>
      </c>
      <c r="AD131" s="2"/>
      <c r="AE131" s="15" t="str">
        <f t="shared" si="50"/>
        <v/>
      </c>
      <c r="AF131" s="15">
        <f>IF(AE131="",0,AVERAGE(AE$10:AE131))</f>
        <v>0</v>
      </c>
      <c r="AG131" s="15">
        <f>IF(AE130="",0,VAR(AE$10:AE131))</f>
        <v>0</v>
      </c>
      <c r="AI131" s="2"/>
      <c r="AJ131" s="15" t="str">
        <f t="shared" si="45"/>
        <v/>
      </c>
      <c r="AK131" s="15">
        <f>IF(AJ131="",0,AVERAGE(AJ$10:AJ131))</f>
        <v>0</v>
      </c>
      <c r="AL131" s="15">
        <f>IF(AJ130="",0,VAR(AJ$10:AJ131))</f>
        <v>0</v>
      </c>
      <c r="AN131" s="2"/>
      <c r="AO131" s="15" t="str">
        <f t="shared" si="46"/>
        <v/>
      </c>
      <c r="AP131" s="15">
        <f>IF(AO131="",0,AVERAGE(AO$10:AO131))</f>
        <v>0</v>
      </c>
      <c r="AQ131" s="15">
        <f>IF(AO130="",0,VAR(AO$10:AO131))</f>
        <v>0</v>
      </c>
      <c r="AS131" s="2"/>
      <c r="AT131" s="15" t="str">
        <f t="shared" si="47"/>
        <v/>
      </c>
      <c r="AU131" s="15">
        <f>IF(AT131="",0,AVERAGE(AT$10:AT131))</f>
        <v>0</v>
      </c>
      <c r="AV131" s="15">
        <f>IF(AT130="",0,VAR(AT$10:AT131))</f>
        <v>0</v>
      </c>
      <c r="AX131" s="2"/>
      <c r="AY131" s="15" t="str">
        <f t="shared" si="48"/>
        <v/>
      </c>
      <c r="AZ131" s="15">
        <f>IF(AY131="",0,AVERAGE(AY$10:AY131))</f>
        <v>0</v>
      </c>
      <c r="BA131" s="15">
        <f>IF(AY130="",0,VAR(AY$10:AY131))</f>
        <v>0</v>
      </c>
    </row>
    <row r="132" spans="3:53" x14ac:dyDescent="0.25">
      <c r="C132" s="2"/>
      <c r="E132" s="2"/>
      <c r="F132" s="15"/>
      <c r="G132" s="15">
        <f>IF(F132="",0,AVERAGE($F$10:F132))</f>
        <v>0</v>
      </c>
      <c r="H132" s="15">
        <f>IF(F131="",0,VAR($F$10:F132))</f>
        <v>0</v>
      </c>
      <c r="J132" s="2"/>
      <c r="K132" s="15" t="str">
        <f t="shared" si="42"/>
        <v/>
      </c>
      <c r="L132" s="15">
        <f>IF(K132="",0,AVERAGE($K$10:K132))</f>
        <v>0</v>
      </c>
      <c r="M132" s="15">
        <f>IF(K131="",0,VAR($K$10:K132))</f>
        <v>0</v>
      </c>
      <c r="O132" s="2"/>
      <c r="P132" s="15" t="str">
        <f t="shared" si="43"/>
        <v/>
      </c>
      <c r="Q132" s="15">
        <f>IF(P132="",0,AVERAGE(P$10:P132))</f>
        <v>0</v>
      </c>
      <c r="R132" s="15">
        <f>IF(P131="",0,VAR(P$10:P132))</f>
        <v>0</v>
      </c>
      <c r="T132" s="2"/>
      <c r="U132" s="15" t="str">
        <f t="shared" si="49"/>
        <v/>
      </c>
      <c r="V132" s="15">
        <f>IF(U132="",0,AVERAGE(U$10:U132))</f>
        <v>0</v>
      </c>
      <c r="W132" s="15">
        <f>IF(U131="",0,VAR(U$10:U132))</f>
        <v>0</v>
      </c>
      <c r="Y132" s="2"/>
      <c r="Z132" s="15" t="str">
        <f t="shared" si="44"/>
        <v/>
      </c>
      <c r="AA132" s="15">
        <f>IF(Z132="",0,AVERAGE(Z$10:Z132))</f>
        <v>0</v>
      </c>
      <c r="AB132" s="15">
        <f>IF(Z131="",0,VAR(Z$10:Z132))</f>
        <v>0</v>
      </c>
      <c r="AD132" s="2"/>
      <c r="AE132" s="15" t="str">
        <f t="shared" si="50"/>
        <v/>
      </c>
      <c r="AF132" s="15">
        <f>IF(AE132="",0,AVERAGE(AE$10:AE132))</f>
        <v>0</v>
      </c>
      <c r="AG132" s="15">
        <f>IF(AE131="",0,VAR(AE$10:AE132))</f>
        <v>0</v>
      </c>
      <c r="AI132" s="2"/>
      <c r="AJ132" s="15" t="str">
        <f t="shared" si="45"/>
        <v/>
      </c>
      <c r="AK132" s="15">
        <f>IF(AJ132="",0,AVERAGE(AJ$10:AJ132))</f>
        <v>0</v>
      </c>
      <c r="AL132" s="15">
        <f>IF(AJ131="",0,VAR(AJ$10:AJ132))</f>
        <v>0</v>
      </c>
      <c r="AN132" s="2"/>
      <c r="AO132" s="15" t="str">
        <f t="shared" si="46"/>
        <v/>
      </c>
      <c r="AP132" s="15">
        <f>IF(AO132="",0,AVERAGE(AO$10:AO132))</f>
        <v>0</v>
      </c>
      <c r="AQ132" s="15">
        <f>IF(AO131="",0,VAR(AO$10:AO132))</f>
        <v>0</v>
      </c>
      <c r="AS132" s="2"/>
      <c r="AT132" s="15" t="str">
        <f t="shared" si="47"/>
        <v/>
      </c>
      <c r="AU132" s="15">
        <f>IF(AT132="",0,AVERAGE(AT$10:AT132))</f>
        <v>0</v>
      </c>
      <c r="AV132" s="15">
        <f>IF(AT131="",0,VAR(AT$10:AT132))</f>
        <v>0</v>
      </c>
      <c r="AX132" s="2"/>
      <c r="AY132" s="15" t="str">
        <f t="shared" si="48"/>
        <v/>
      </c>
      <c r="AZ132" s="15">
        <f>IF(AY132="",0,AVERAGE(AY$10:AY132))</f>
        <v>0</v>
      </c>
      <c r="BA132" s="15">
        <f>IF(AY131="",0,VAR(AY$10:AY132))</f>
        <v>0</v>
      </c>
    </row>
    <row r="133" spans="3:53" x14ac:dyDescent="0.25">
      <c r="C133" s="2"/>
      <c r="E133" s="2"/>
      <c r="F133" s="15" t="str">
        <f t="shared" ref="F133" si="69">IF(E133="","",+(E133-E132)/E132)</f>
        <v/>
      </c>
      <c r="G133" s="15">
        <f>IF(F133="",0,AVERAGE($F$10:F133))</f>
        <v>0</v>
      </c>
      <c r="H133" s="15">
        <f>IF(F132="",0,VAR($F$10:F133))</f>
        <v>0</v>
      </c>
      <c r="J133" s="2"/>
      <c r="K133" s="15" t="str">
        <f t="shared" si="42"/>
        <v/>
      </c>
      <c r="L133" s="15">
        <f>IF(K133="",0,AVERAGE($K$10:K133))</f>
        <v>0</v>
      </c>
      <c r="M133" s="15">
        <f>IF(K132="",0,VAR($K$10:K133))</f>
        <v>0</v>
      </c>
      <c r="O133" s="2"/>
      <c r="P133" s="15" t="str">
        <f t="shared" si="43"/>
        <v/>
      </c>
      <c r="Q133" s="15">
        <f>IF(P133="",0,AVERAGE(P$10:P133))</f>
        <v>0</v>
      </c>
      <c r="R133" s="15">
        <f>IF(P132="",0,VAR(P$10:P133))</f>
        <v>0</v>
      </c>
      <c r="T133" s="2"/>
      <c r="U133" s="15" t="str">
        <f t="shared" si="49"/>
        <v/>
      </c>
      <c r="V133" s="15">
        <f>IF(U133="",0,AVERAGE(U$10:U133))</f>
        <v>0</v>
      </c>
      <c r="W133" s="15">
        <f>IF(U132="",0,VAR(U$10:U133))</f>
        <v>0</v>
      </c>
      <c r="Y133" s="2"/>
      <c r="Z133" s="15" t="str">
        <f t="shared" si="44"/>
        <v/>
      </c>
      <c r="AA133" s="15">
        <f>IF(Z133="",0,AVERAGE(Z$10:Z133))</f>
        <v>0</v>
      </c>
      <c r="AB133" s="15">
        <f>IF(Z132="",0,VAR(Z$10:Z133))</f>
        <v>0</v>
      </c>
      <c r="AD133" s="2"/>
      <c r="AE133" s="15" t="str">
        <f t="shared" si="50"/>
        <v/>
      </c>
      <c r="AF133" s="15">
        <f>IF(AE133="",0,AVERAGE(AE$10:AE133))</f>
        <v>0</v>
      </c>
      <c r="AG133" s="15">
        <f>IF(AE132="",0,VAR(AE$10:AE133))</f>
        <v>0</v>
      </c>
      <c r="AI133" s="2"/>
      <c r="AJ133" s="15" t="str">
        <f t="shared" si="45"/>
        <v/>
      </c>
      <c r="AK133" s="15">
        <f>IF(AJ133="",0,AVERAGE(AJ$10:AJ133))</f>
        <v>0</v>
      </c>
      <c r="AL133" s="15">
        <f>IF(AJ132="",0,VAR(AJ$10:AJ133))</f>
        <v>0</v>
      </c>
      <c r="AN133" s="2"/>
      <c r="AO133" s="15" t="str">
        <f t="shared" si="46"/>
        <v/>
      </c>
      <c r="AP133" s="15">
        <f>IF(AO133="",0,AVERAGE(AO$10:AO133))</f>
        <v>0</v>
      </c>
      <c r="AQ133" s="15">
        <f>IF(AO132="",0,VAR(AO$10:AO133))</f>
        <v>0</v>
      </c>
      <c r="AS133" s="2"/>
      <c r="AT133" s="15" t="str">
        <f t="shared" si="47"/>
        <v/>
      </c>
      <c r="AU133" s="15">
        <f>IF(AT133="",0,AVERAGE(AT$10:AT133))</f>
        <v>0</v>
      </c>
      <c r="AV133" s="15">
        <f>IF(AT132="",0,VAR(AT$10:AT133))</f>
        <v>0</v>
      </c>
      <c r="AX133" s="2"/>
      <c r="AY133" s="15" t="str">
        <f t="shared" si="48"/>
        <v/>
      </c>
      <c r="AZ133" s="15">
        <f>IF(AY133="",0,AVERAGE(AY$10:AY133))</f>
        <v>0</v>
      </c>
      <c r="BA133" s="15">
        <f>IF(AY132="",0,VAR(AY$10:AY133))</f>
        <v>0</v>
      </c>
    </row>
    <row r="134" spans="3:53" x14ac:dyDescent="0.25">
      <c r="C134" s="2"/>
      <c r="E134" s="2"/>
      <c r="F134" s="15" t="str">
        <f t="shared" si="41"/>
        <v/>
      </c>
      <c r="G134" s="15">
        <f>IF(F134="",0,AVERAGE($F$10:F134))</f>
        <v>0</v>
      </c>
      <c r="H134" s="15">
        <f>IF(F133="",0,VAR($F$10:F134))</f>
        <v>0</v>
      </c>
      <c r="J134" s="2"/>
      <c r="K134" s="15" t="str">
        <f t="shared" si="42"/>
        <v/>
      </c>
      <c r="L134" s="15">
        <f>IF(K134="",0,AVERAGE($K$10:K134))</f>
        <v>0</v>
      </c>
      <c r="M134" s="15">
        <f>IF(K133="",0,VAR($K$10:K134))</f>
        <v>0</v>
      </c>
      <c r="O134" s="2"/>
      <c r="P134" s="15" t="str">
        <f t="shared" si="43"/>
        <v/>
      </c>
      <c r="Q134" s="15">
        <f>IF(P134="",0,AVERAGE(P$10:P134))</f>
        <v>0</v>
      </c>
      <c r="R134" s="15">
        <f>IF(P133="",0,VAR(P$10:P134))</f>
        <v>0</v>
      </c>
      <c r="T134" s="2"/>
      <c r="U134" s="15" t="str">
        <f t="shared" si="49"/>
        <v/>
      </c>
      <c r="V134" s="15">
        <f>IF(U134="",0,AVERAGE(U$10:U134))</f>
        <v>0</v>
      </c>
      <c r="W134" s="15">
        <f>IF(U133="",0,VAR(U$10:U134))</f>
        <v>0</v>
      </c>
      <c r="Y134" s="2"/>
      <c r="Z134" s="15" t="str">
        <f t="shared" si="44"/>
        <v/>
      </c>
      <c r="AA134" s="15">
        <f>IF(Z134="",0,AVERAGE(Z$10:Z134))</f>
        <v>0</v>
      </c>
      <c r="AB134" s="15">
        <f>IF(Z133="",0,VAR(Z$10:Z134))</f>
        <v>0</v>
      </c>
      <c r="AD134" s="2"/>
      <c r="AE134" s="15" t="str">
        <f t="shared" si="50"/>
        <v/>
      </c>
      <c r="AF134" s="15">
        <f>IF(AE134="",0,AVERAGE(AE$10:AE134))</f>
        <v>0</v>
      </c>
      <c r="AG134" s="15">
        <f>IF(AE133="",0,VAR(AE$10:AE134))</f>
        <v>0</v>
      </c>
      <c r="AI134" s="2"/>
      <c r="AJ134" s="15" t="str">
        <f t="shared" si="45"/>
        <v/>
      </c>
      <c r="AK134" s="15">
        <f>IF(AJ134="",0,AVERAGE(AJ$10:AJ134))</f>
        <v>0</v>
      </c>
      <c r="AL134" s="15">
        <f>IF(AJ133="",0,VAR(AJ$10:AJ134))</f>
        <v>0</v>
      </c>
      <c r="AN134" s="2"/>
      <c r="AO134" s="15" t="str">
        <f t="shared" si="46"/>
        <v/>
      </c>
      <c r="AP134" s="15">
        <f>IF(AO134="",0,AVERAGE(AO$10:AO134))</f>
        <v>0</v>
      </c>
      <c r="AQ134" s="15">
        <f>IF(AO133="",0,VAR(AO$10:AO134))</f>
        <v>0</v>
      </c>
      <c r="AS134" s="2"/>
      <c r="AT134" s="15" t="str">
        <f t="shared" si="47"/>
        <v/>
      </c>
      <c r="AU134" s="15">
        <f>IF(AT134="",0,AVERAGE(AT$10:AT134))</f>
        <v>0</v>
      </c>
      <c r="AV134" s="15">
        <f>IF(AT133="",0,VAR(AT$10:AT134))</f>
        <v>0</v>
      </c>
      <c r="AX134" s="2"/>
      <c r="AY134" s="15" t="str">
        <f t="shared" si="48"/>
        <v/>
      </c>
      <c r="AZ134" s="15">
        <f>IF(AY134="",0,AVERAGE(AY$10:AY134))</f>
        <v>0</v>
      </c>
      <c r="BA134" s="15">
        <f>IF(AY133="",0,VAR(AY$10:AY134))</f>
        <v>0</v>
      </c>
    </row>
    <row r="135" spans="3:53" x14ac:dyDescent="0.25">
      <c r="C135" s="2"/>
      <c r="E135" s="2"/>
      <c r="F135" s="15"/>
      <c r="G135" s="15">
        <f>IF(F135="",0,AVERAGE($F$10:F135))</f>
        <v>0</v>
      </c>
      <c r="H135" s="15">
        <f>IF(F134="",0,VAR($F$10:F135))</f>
        <v>0</v>
      </c>
      <c r="J135" s="2"/>
      <c r="K135" s="15" t="str">
        <f t="shared" si="42"/>
        <v/>
      </c>
      <c r="L135" s="15">
        <f>IF(K135="",0,AVERAGE($K$10:K135))</f>
        <v>0</v>
      </c>
      <c r="M135" s="15">
        <f>IF(K134="",0,VAR($K$10:K135))</f>
        <v>0</v>
      </c>
      <c r="O135" s="2"/>
      <c r="P135" s="15" t="str">
        <f t="shared" si="43"/>
        <v/>
      </c>
      <c r="Q135" s="15">
        <f>IF(P135="",0,AVERAGE(P$10:P135))</f>
        <v>0</v>
      </c>
      <c r="R135" s="15">
        <f>IF(P134="",0,VAR(P$10:P135))</f>
        <v>0</v>
      </c>
      <c r="T135" s="2"/>
      <c r="U135" s="15" t="str">
        <f t="shared" si="49"/>
        <v/>
      </c>
      <c r="V135" s="15">
        <f>IF(U135="",0,AVERAGE(U$10:U135))</f>
        <v>0</v>
      </c>
      <c r="W135" s="15">
        <f>IF(U134="",0,VAR(U$10:U135))</f>
        <v>0</v>
      </c>
      <c r="Y135" s="2"/>
      <c r="Z135" s="15" t="str">
        <f t="shared" si="44"/>
        <v/>
      </c>
      <c r="AA135" s="15">
        <f>IF(Z135="",0,AVERAGE(Z$10:Z135))</f>
        <v>0</v>
      </c>
      <c r="AB135" s="15">
        <f>IF(Z134="",0,VAR(Z$10:Z135))</f>
        <v>0</v>
      </c>
      <c r="AD135" s="2"/>
      <c r="AE135" s="15" t="str">
        <f t="shared" si="50"/>
        <v/>
      </c>
      <c r="AF135" s="15">
        <f>IF(AE135="",0,AVERAGE(AE$10:AE135))</f>
        <v>0</v>
      </c>
      <c r="AG135" s="15">
        <f>IF(AE134="",0,VAR(AE$10:AE135))</f>
        <v>0</v>
      </c>
      <c r="AI135" s="2"/>
      <c r="AJ135" s="15" t="str">
        <f t="shared" si="45"/>
        <v/>
      </c>
      <c r="AK135" s="15">
        <f>IF(AJ135="",0,AVERAGE(AJ$10:AJ135))</f>
        <v>0</v>
      </c>
      <c r="AL135" s="15">
        <f>IF(AJ134="",0,VAR(AJ$10:AJ135))</f>
        <v>0</v>
      </c>
      <c r="AN135" s="2"/>
      <c r="AO135" s="15" t="str">
        <f t="shared" si="46"/>
        <v/>
      </c>
      <c r="AP135" s="15">
        <f>IF(AO135="",0,AVERAGE(AO$10:AO135))</f>
        <v>0</v>
      </c>
      <c r="AQ135" s="15">
        <f>IF(AO134="",0,VAR(AO$10:AO135))</f>
        <v>0</v>
      </c>
      <c r="AS135" s="2"/>
      <c r="AT135" s="15" t="str">
        <f t="shared" si="47"/>
        <v/>
      </c>
      <c r="AU135" s="15">
        <f>IF(AT135="",0,AVERAGE(AT$10:AT135))</f>
        <v>0</v>
      </c>
      <c r="AV135" s="15">
        <f>IF(AT134="",0,VAR(AT$10:AT135))</f>
        <v>0</v>
      </c>
      <c r="AX135" s="2"/>
      <c r="AY135" s="15" t="str">
        <f t="shared" si="48"/>
        <v/>
      </c>
      <c r="AZ135" s="15">
        <f>IF(AY135="",0,AVERAGE(AY$10:AY135))</f>
        <v>0</v>
      </c>
      <c r="BA135" s="15">
        <f>IF(AY134="",0,VAR(AY$10:AY135))</f>
        <v>0</v>
      </c>
    </row>
    <row r="136" spans="3:53" x14ac:dyDescent="0.25">
      <c r="C136" s="2"/>
      <c r="E136" s="2"/>
      <c r="F136" s="15" t="str">
        <f t="shared" ref="F136" si="70">IF(E136="","",+(E136-E135)/E135)</f>
        <v/>
      </c>
      <c r="G136" s="15">
        <f>IF(F136="",0,AVERAGE($F$10:F136))</f>
        <v>0</v>
      </c>
      <c r="H136" s="15">
        <f>IF(F135="",0,VAR($F$10:F136))</f>
        <v>0</v>
      </c>
      <c r="J136" s="2"/>
      <c r="K136" s="15" t="str">
        <f t="shared" si="42"/>
        <v/>
      </c>
      <c r="L136" s="15">
        <f>IF(K136="",0,AVERAGE($K$10:K136))</f>
        <v>0</v>
      </c>
      <c r="M136" s="15">
        <f>IF(K135="",0,VAR($K$10:K136))</f>
        <v>0</v>
      </c>
      <c r="O136" s="2"/>
      <c r="P136" s="15" t="str">
        <f t="shared" si="43"/>
        <v/>
      </c>
      <c r="Q136" s="15">
        <f>IF(P136="",0,AVERAGE(P$10:P136))</f>
        <v>0</v>
      </c>
      <c r="R136" s="15">
        <f>IF(P135="",0,VAR(P$10:P136))</f>
        <v>0</v>
      </c>
      <c r="T136" s="2"/>
      <c r="U136" s="15" t="str">
        <f t="shared" si="49"/>
        <v/>
      </c>
      <c r="V136" s="15">
        <f>IF(U136="",0,AVERAGE(U$10:U136))</f>
        <v>0</v>
      </c>
      <c r="W136" s="15">
        <f>IF(U135="",0,VAR(U$10:U136))</f>
        <v>0</v>
      </c>
      <c r="Y136" s="2"/>
      <c r="Z136" s="15" t="str">
        <f t="shared" si="44"/>
        <v/>
      </c>
      <c r="AA136" s="15">
        <f>IF(Z136="",0,AVERAGE(Z$10:Z136))</f>
        <v>0</v>
      </c>
      <c r="AB136" s="15">
        <f>IF(Z135="",0,VAR(Z$10:Z136))</f>
        <v>0</v>
      </c>
      <c r="AD136" s="2"/>
      <c r="AE136" s="15" t="str">
        <f t="shared" si="50"/>
        <v/>
      </c>
      <c r="AF136" s="15">
        <f>IF(AE136="",0,AVERAGE(AE$10:AE136))</f>
        <v>0</v>
      </c>
      <c r="AG136" s="15">
        <f>IF(AE135="",0,VAR(AE$10:AE136))</f>
        <v>0</v>
      </c>
      <c r="AI136" s="2"/>
      <c r="AJ136" s="15" t="str">
        <f t="shared" si="45"/>
        <v/>
      </c>
      <c r="AK136" s="15">
        <f>IF(AJ136="",0,AVERAGE(AJ$10:AJ136))</f>
        <v>0</v>
      </c>
      <c r="AL136" s="15">
        <f>IF(AJ135="",0,VAR(AJ$10:AJ136))</f>
        <v>0</v>
      </c>
      <c r="AN136" s="2"/>
      <c r="AO136" s="15" t="str">
        <f t="shared" si="46"/>
        <v/>
      </c>
      <c r="AP136" s="15">
        <f>IF(AO136="",0,AVERAGE(AO$10:AO136))</f>
        <v>0</v>
      </c>
      <c r="AQ136" s="15">
        <f>IF(AO135="",0,VAR(AO$10:AO136))</f>
        <v>0</v>
      </c>
      <c r="AS136" s="2"/>
      <c r="AT136" s="15" t="str">
        <f t="shared" si="47"/>
        <v/>
      </c>
      <c r="AU136" s="15">
        <f>IF(AT136="",0,AVERAGE(AT$10:AT136))</f>
        <v>0</v>
      </c>
      <c r="AV136" s="15">
        <f>IF(AT135="",0,VAR(AT$10:AT136))</f>
        <v>0</v>
      </c>
      <c r="AX136" s="2"/>
      <c r="AY136" s="15" t="str">
        <f t="shared" si="48"/>
        <v/>
      </c>
      <c r="AZ136" s="15">
        <f>IF(AY136="",0,AVERAGE(AY$10:AY136))</f>
        <v>0</v>
      </c>
      <c r="BA136" s="15">
        <f>IF(AY135="",0,VAR(AY$10:AY136))</f>
        <v>0</v>
      </c>
    </row>
    <row r="137" spans="3:53" x14ac:dyDescent="0.25">
      <c r="C137" s="2"/>
      <c r="E137" s="2"/>
      <c r="F137" s="15" t="str">
        <f t="shared" si="41"/>
        <v/>
      </c>
      <c r="G137" s="15">
        <f>IF(F137="",0,AVERAGE($F$10:F137))</f>
        <v>0</v>
      </c>
      <c r="H137" s="15">
        <f>IF(F136="",0,VAR($F$10:F137))</f>
        <v>0</v>
      </c>
      <c r="J137" s="2"/>
      <c r="K137" s="15" t="str">
        <f t="shared" si="42"/>
        <v/>
      </c>
      <c r="L137" s="15">
        <f>IF(K137="",0,AVERAGE($K$10:K137))</f>
        <v>0</v>
      </c>
      <c r="M137" s="15">
        <f>IF(K136="",0,VAR($K$10:K137))</f>
        <v>0</v>
      </c>
      <c r="O137" s="2"/>
      <c r="P137" s="15" t="str">
        <f t="shared" si="43"/>
        <v/>
      </c>
      <c r="Q137" s="15">
        <f>IF(P137="",0,AVERAGE(P$10:P137))</f>
        <v>0</v>
      </c>
      <c r="R137" s="15">
        <f>IF(P136="",0,VAR(P$10:P137))</f>
        <v>0</v>
      </c>
      <c r="T137" s="2"/>
      <c r="U137" s="15" t="str">
        <f t="shared" si="49"/>
        <v/>
      </c>
      <c r="V137" s="15">
        <f>IF(U137="",0,AVERAGE(U$10:U137))</f>
        <v>0</v>
      </c>
      <c r="W137" s="15">
        <f>IF(U136="",0,VAR(U$10:U137))</f>
        <v>0</v>
      </c>
      <c r="Y137" s="2"/>
      <c r="Z137" s="15" t="str">
        <f t="shared" si="44"/>
        <v/>
      </c>
      <c r="AA137" s="15">
        <f>IF(Z137="",0,AVERAGE(Z$10:Z137))</f>
        <v>0</v>
      </c>
      <c r="AB137" s="15">
        <f>IF(Z136="",0,VAR(Z$10:Z137))</f>
        <v>0</v>
      </c>
      <c r="AD137" s="2"/>
      <c r="AE137" s="15" t="str">
        <f t="shared" si="50"/>
        <v/>
      </c>
      <c r="AF137" s="15">
        <f>IF(AE137="",0,AVERAGE(AE$10:AE137))</f>
        <v>0</v>
      </c>
      <c r="AG137" s="15">
        <f>IF(AE136="",0,VAR(AE$10:AE137))</f>
        <v>0</v>
      </c>
      <c r="AI137" s="2"/>
      <c r="AJ137" s="15" t="str">
        <f t="shared" si="45"/>
        <v/>
      </c>
      <c r="AK137" s="15">
        <f>IF(AJ137="",0,AVERAGE(AJ$10:AJ137))</f>
        <v>0</v>
      </c>
      <c r="AL137" s="15">
        <f>IF(AJ136="",0,VAR(AJ$10:AJ137))</f>
        <v>0</v>
      </c>
      <c r="AN137" s="2"/>
      <c r="AO137" s="15" t="str">
        <f t="shared" si="46"/>
        <v/>
      </c>
      <c r="AP137" s="15">
        <f>IF(AO137="",0,AVERAGE(AO$10:AO137))</f>
        <v>0</v>
      </c>
      <c r="AQ137" s="15">
        <f>IF(AO136="",0,VAR(AO$10:AO137))</f>
        <v>0</v>
      </c>
      <c r="AS137" s="2"/>
      <c r="AT137" s="15" t="str">
        <f t="shared" si="47"/>
        <v/>
      </c>
      <c r="AU137" s="15">
        <f>IF(AT137="",0,AVERAGE(AT$10:AT137))</f>
        <v>0</v>
      </c>
      <c r="AV137" s="15">
        <f>IF(AT136="",0,VAR(AT$10:AT137))</f>
        <v>0</v>
      </c>
      <c r="AX137" s="2"/>
      <c r="AY137" s="15" t="str">
        <f t="shared" si="48"/>
        <v/>
      </c>
      <c r="AZ137" s="15">
        <f>IF(AY137="",0,AVERAGE(AY$10:AY137))</f>
        <v>0</v>
      </c>
      <c r="BA137" s="15">
        <f>IF(AY136="",0,VAR(AY$10:AY137))</f>
        <v>0</v>
      </c>
    </row>
    <row r="138" spans="3:53" x14ac:dyDescent="0.25">
      <c r="C138" s="2"/>
      <c r="E138" s="2"/>
      <c r="F138" s="15"/>
      <c r="G138" s="15">
        <f>IF(F138="",0,AVERAGE($F$10:F138))</f>
        <v>0</v>
      </c>
      <c r="H138" s="15">
        <f>IF(F137="",0,VAR($F$10:F138))</f>
        <v>0</v>
      </c>
      <c r="J138" s="2"/>
      <c r="K138" s="15" t="str">
        <f t="shared" si="42"/>
        <v/>
      </c>
      <c r="L138" s="15">
        <f>IF(K138="",0,AVERAGE($K$10:K138))</f>
        <v>0</v>
      </c>
      <c r="M138" s="15">
        <f>IF(K137="",0,VAR($K$10:K138))</f>
        <v>0</v>
      </c>
      <c r="O138" s="2"/>
      <c r="P138" s="15" t="str">
        <f t="shared" si="43"/>
        <v/>
      </c>
      <c r="Q138" s="15">
        <f>IF(P138="",0,AVERAGE(P$10:P138))</f>
        <v>0</v>
      </c>
      <c r="R138" s="15">
        <f>IF(P137="",0,VAR(P$10:P138))</f>
        <v>0</v>
      </c>
      <c r="T138" s="2"/>
      <c r="U138" s="15" t="str">
        <f t="shared" si="49"/>
        <v/>
      </c>
      <c r="V138" s="15">
        <f>IF(U138="",0,AVERAGE(U$10:U138))</f>
        <v>0</v>
      </c>
      <c r="W138" s="15">
        <f>IF(U137="",0,VAR(U$10:U138))</f>
        <v>0</v>
      </c>
      <c r="Y138" s="2"/>
      <c r="Z138" s="15" t="str">
        <f t="shared" si="44"/>
        <v/>
      </c>
      <c r="AA138" s="15">
        <f>IF(Z138="",0,AVERAGE(Z$10:Z138))</f>
        <v>0</v>
      </c>
      <c r="AB138" s="15">
        <f>IF(Z137="",0,VAR(Z$10:Z138))</f>
        <v>0</v>
      </c>
      <c r="AD138" s="2"/>
      <c r="AE138" s="15" t="str">
        <f t="shared" si="50"/>
        <v/>
      </c>
      <c r="AF138" s="15">
        <f>IF(AE138="",0,AVERAGE(AE$10:AE138))</f>
        <v>0</v>
      </c>
      <c r="AG138" s="15">
        <f>IF(AE137="",0,VAR(AE$10:AE138))</f>
        <v>0</v>
      </c>
      <c r="AI138" s="2"/>
      <c r="AJ138" s="15" t="str">
        <f t="shared" si="45"/>
        <v/>
      </c>
      <c r="AK138" s="15">
        <f>IF(AJ138="",0,AVERAGE(AJ$10:AJ138))</f>
        <v>0</v>
      </c>
      <c r="AL138" s="15">
        <f>IF(AJ137="",0,VAR(AJ$10:AJ138))</f>
        <v>0</v>
      </c>
      <c r="AN138" s="2"/>
      <c r="AO138" s="15" t="str">
        <f t="shared" si="46"/>
        <v/>
      </c>
      <c r="AP138" s="15">
        <f>IF(AO138="",0,AVERAGE(AO$10:AO138))</f>
        <v>0</v>
      </c>
      <c r="AQ138" s="15">
        <f>IF(AO137="",0,VAR(AO$10:AO138))</f>
        <v>0</v>
      </c>
      <c r="AS138" s="2"/>
      <c r="AT138" s="15" t="str">
        <f t="shared" si="47"/>
        <v/>
      </c>
      <c r="AU138" s="15">
        <f>IF(AT138="",0,AVERAGE(AT$10:AT138))</f>
        <v>0</v>
      </c>
      <c r="AV138" s="15">
        <f>IF(AT137="",0,VAR(AT$10:AT138))</f>
        <v>0</v>
      </c>
      <c r="AX138" s="2"/>
      <c r="AY138" s="15" t="str">
        <f t="shared" si="48"/>
        <v/>
      </c>
      <c r="AZ138" s="15">
        <f>IF(AY138="",0,AVERAGE(AY$10:AY138))</f>
        <v>0</v>
      </c>
      <c r="BA138" s="15">
        <f>IF(AY137="",0,VAR(AY$10:AY138))</f>
        <v>0</v>
      </c>
    </row>
    <row r="139" spans="3:53" x14ac:dyDescent="0.25">
      <c r="C139" s="2"/>
      <c r="E139" s="2"/>
      <c r="F139" s="15" t="str">
        <f t="shared" ref="F139:F200" si="71">IF(E139="","",+(E139-E138)/E138)</f>
        <v/>
      </c>
      <c r="G139" s="15">
        <f>IF(F139="",0,AVERAGE($F$10:F139))</f>
        <v>0</v>
      </c>
      <c r="H139" s="15">
        <f>IF(F138="",0,VAR($F$10:F139))</f>
        <v>0</v>
      </c>
      <c r="J139" s="2"/>
      <c r="K139" s="15" t="str">
        <f t="shared" si="42"/>
        <v/>
      </c>
      <c r="L139" s="15">
        <f>IF(K139="",0,AVERAGE($K$10:K139))</f>
        <v>0</v>
      </c>
      <c r="M139" s="15">
        <f>IF(K138="",0,VAR($K$10:K139))</f>
        <v>0</v>
      </c>
      <c r="O139" s="2"/>
      <c r="P139" s="15" t="str">
        <f t="shared" si="43"/>
        <v/>
      </c>
      <c r="Q139" s="15">
        <f>IF(P139="",0,AVERAGE(P$10:P139))</f>
        <v>0</v>
      </c>
      <c r="R139" s="15">
        <f>IF(P138="",0,VAR(P$10:P139))</f>
        <v>0</v>
      </c>
      <c r="T139" s="2"/>
      <c r="U139" s="15" t="str">
        <f t="shared" si="49"/>
        <v/>
      </c>
      <c r="V139" s="15">
        <f>IF(U139="",0,AVERAGE(U$10:U139))</f>
        <v>0</v>
      </c>
      <c r="W139" s="15">
        <f>IF(U138="",0,VAR(U$10:U139))</f>
        <v>0</v>
      </c>
      <c r="Y139" s="2"/>
      <c r="Z139" s="15" t="str">
        <f t="shared" si="44"/>
        <v/>
      </c>
      <c r="AA139" s="15">
        <f>IF(Z139="",0,AVERAGE(Z$10:Z139))</f>
        <v>0</v>
      </c>
      <c r="AB139" s="15">
        <f>IF(Z138="",0,VAR(Z$10:Z139))</f>
        <v>0</v>
      </c>
      <c r="AD139" s="2"/>
      <c r="AE139" s="15" t="str">
        <f t="shared" si="50"/>
        <v/>
      </c>
      <c r="AF139" s="15">
        <f>IF(AE139="",0,AVERAGE(AE$10:AE139))</f>
        <v>0</v>
      </c>
      <c r="AG139" s="15">
        <f>IF(AE138="",0,VAR(AE$10:AE139))</f>
        <v>0</v>
      </c>
      <c r="AI139" s="2"/>
      <c r="AJ139" s="15" t="str">
        <f t="shared" si="45"/>
        <v/>
      </c>
      <c r="AK139" s="15">
        <f>IF(AJ139="",0,AVERAGE(AJ$10:AJ139))</f>
        <v>0</v>
      </c>
      <c r="AL139" s="15">
        <f>IF(AJ138="",0,VAR(AJ$10:AJ139))</f>
        <v>0</v>
      </c>
      <c r="AN139" s="2"/>
      <c r="AO139" s="15" t="str">
        <f t="shared" si="46"/>
        <v/>
      </c>
      <c r="AP139" s="15">
        <f>IF(AO139="",0,AVERAGE(AO$10:AO139))</f>
        <v>0</v>
      </c>
      <c r="AQ139" s="15">
        <f>IF(AO138="",0,VAR(AO$10:AO139))</f>
        <v>0</v>
      </c>
      <c r="AS139" s="2"/>
      <c r="AT139" s="15" t="str">
        <f t="shared" si="47"/>
        <v/>
      </c>
      <c r="AU139" s="15">
        <f>IF(AT139="",0,AVERAGE(AT$10:AT139))</f>
        <v>0</v>
      </c>
      <c r="AV139" s="15">
        <f>IF(AT138="",0,VAR(AT$10:AT139))</f>
        <v>0</v>
      </c>
      <c r="AX139" s="2"/>
      <c r="AY139" s="15" t="str">
        <f t="shared" si="48"/>
        <v/>
      </c>
      <c r="AZ139" s="15">
        <f>IF(AY139="",0,AVERAGE(AY$10:AY139))</f>
        <v>0</v>
      </c>
      <c r="BA139" s="15">
        <f>IF(AY138="",0,VAR(AY$10:AY139))</f>
        <v>0</v>
      </c>
    </row>
    <row r="140" spans="3:53" x14ac:dyDescent="0.25">
      <c r="C140" s="2"/>
      <c r="E140" s="2"/>
      <c r="F140" s="15" t="str">
        <f t="shared" si="71"/>
        <v/>
      </c>
      <c r="G140" s="15">
        <f>IF(F140="",0,AVERAGE($F$10:F140))</f>
        <v>0</v>
      </c>
      <c r="H140" s="15">
        <f>IF(F139="",0,VAR($F$10:F140))</f>
        <v>0</v>
      </c>
      <c r="J140" s="2"/>
      <c r="K140" s="15" t="str">
        <f t="shared" ref="K140:K203" si="72">IF(J140="","",+(J140-J139)/J139)</f>
        <v/>
      </c>
      <c r="L140" s="15">
        <f>IF(K140="",0,AVERAGE($K$10:K140))</f>
        <v>0</v>
      </c>
      <c r="M140" s="15">
        <f>IF(K139="",0,VAR($K$10:K140))</f>
        <v>0</v>
      </c>
      <c r="O140" s="2"/>
      <c r="P140" s="15" t="str">
        <f t="shared" ref="P140:P203" si="73">IF(O140="","",+(O140-O139)/O139)</f>
        <v/>
      </c>
      <c r="Q140" s="15">
        <f>IF(P140="",0,AVERAGE(P$10:P140))</f>
        <v>0</v>
      </c>
      <c r="R140" s="15">
        <f>IF(P139="",0,VAR(P$10:P140))</f>
        <v>0</v>
      </c>
      <c r="T140" s="2"/>
      <c r="U140" s="15" t="str">
        <f t="shared" si="49"/>
        <v/>
      </c>
      <c r="V140" s="15">
        <f>IF(U140="",0,AVERAGE(U$10:U140))</f>
        <v>0</v>
      </c>
      <c r="W140" s="15">
        <f>IF(U139="",0,VAR(U$10:U140))</f>
        <v>0</v>
      </c>
      <c r="Y140" s="2"/>
      <c r="Z140" s="15" t="str">
        <f t="shared" ref="Z140:Z203" si="74">IF(Y140="","",+(Y140-Y139)/Y139)</f>
        <v/>
      </c>
      <c r="AA140" s="15">
        <f>IF(Z140="",0,AVERAGE(Z$10:Z140))</f>
        <v>0</v>
      </c>
      <c r="AB140" s="15">
        <f>IF(Z139="",0,VAR(Z$10:Z140))</f>
        <v>0</v>
      </c>
      <c r="AD140" s="2"/>
      <c r="AE140" s="15" t="str">
        <f t="shared" si="50"/>
        <v/>
      </c>
      <c r="AF140" s="15">
        <f>IF(AE140="",0,AVERAGE(AE$10:AE140))</f>
        <v>0</v>
      </c>
      <c r="AG140" s="15">
        <f>IF(AE139="",0,VAR(AE$10:AE140))</f>
        <v>0</v>
      </c>
      <c r="AI140" s="2"/>
      <c r="AJ140" s="15" t="str">
        <f t="shared" si="45"/>
        <v/>
      </c>
      <c r="AK140" s="15">
        <f>IF(AJ140="",0,AVERAGE(AJ$10:AJ140))</f>
        <v>0</v>
      </c>
      <c r="AL140" s="15">
        <f>IF(AJ139="",0,VAR(AJ$10:AJ140))</f>
        <v>0</v>
      </c>
      <c r="AN140" s="2"/>
      <c r="AO140" s="15" t="str">
        <f t="shared" si="46"/>
        <v/>
      </c>
      <c r="AP140" s="15">
        <f>IF(AO140="",0,AVERAGE(AO$10:AO140))</f>
        <v>0</v>
      </c>
      <c r="AQ140" s="15">
        <f>IF(AO139="",0,VAR(AO$10:AO140))</f>
        <v>0</v>
      </c>
      <c r="AS140" s="2"/>
      <c r="AT140" s="15" t="str">
        <f t="shared" si="47"/>
        <v/>
      </c>
      <c r="AU140" s="15">
        <f>IF(AT140="",0,AVERAGE(AT$10:AT140))</f>
        <v>0</v>
      </c>
      <c r="AV140" s="15">
        <f>IF(AT139="",0,VAR(AT$10:AT140))</f>
        <v>0</v>
      </c>
      <c r="AX140" s="2"/>
      <c r="AY140" s="15" t="str">
        <f t="shared" si="48"/>
        <v/>
      </c>
      <c r="AZ140" s="15">
        <f>IF(AY140="",0,AVERAGE(AY$10:AY140))</f>
        <v>0</v>
      </c>
      <c r="BA140" s="15">
        <f>IF(AY139="",0,VAR(AY$10:AY140))</f>
        <v>0</v>
      </c>
    </row>
    <row r="141" spans="3:53" x14ac:dyDescent="0.25">
      <c r="C141" s="2"/>
      <c r="E141" s="2"/>
      <c r="F141" s="15"/>
      <c r="G141" s="15">
        <f>IF(F141="",0,AVERAGE($F$10:F141))</f>
        <v>0</v>
      </c>
      <c r="H141" s="15">
        <f>IF(F140="",0,VAR($F$10:F141))</f>
        <v>0</v>
      </c>
      <c r="J141" s="2"/>
      <c r="K141" s="15" t="str">
        <f t="shared" si="72"/>
        <v/>
      </c>
      <c r="L141" s="15">
        <f>IF(K141="",0,AVERAGE($K$10:K141))</f>
        <v>0</v>
      </c>
      <c r="M141" s="15">
        <f>IF(K140="",0,VAR($K$10:K141))</f>
        <v>0</v>
      </c>
      <c r="O141" s="2"/>
      <c r="P141" s="15" t="str">
        <f t="shared" si="73"/>
        <v/>
      </c>
      <c r="Q141" s="15">
        <f>IF(P141="",0,AVERAGE(P$10:P141))</f>
        <v>0</v>
      </c>
      <c r="R141" s="15">
        <f>IF(P140="",0,VAR(P$10:P141))</f>
        <v>0</v>
      </c>
      <c r="T141" s="2"/>
      <c r="U141" s="15" t="str">
        <f t="shared" si="49"/>
        <v/>
      </c>
      <c r="V141" s="15">
        <f>IF(U141="",0,AVERAGE(U$10:U141))</f>
        <v>0</v>
      </c>
      <c r="W141" s="15">
        <f>IF(U140="",0,VAR(U$10:U141))</f>
        <v>0</v>
      </c>
      <c r="Y141" s="2"/>
      <c r="Z141" s="15" t="str">
        <f t="shared" si="74"/>
        <v/>
      </c>
      <c r="AA141" s="15">
        <f>IF(Z141="",0,AVERAGE(Z$10:Z141))</f>
        <v>0</v>
      </c>
      <c r="AB141" s="15">
        <f>IF(Z140="",0,VAR(Z$10:Z141))</f>
        <v>0</v>
      </c>
      <c r="AD141" s="2"/>
      <c r="AE141" s="15" t="str">
        <f t="shared" si="50"/>
        <v/>
      </c>
      <c r="AF141" s="15">
        <f>IF(AE141="",0,AVERAGE(AE$10:AE141))</f>
        <v>0</v>
      </c>
      <c r="AG141" s="15">
        <f>IF(AE140="",0,VAR(AE$10:AE141))</f>
        <v>0</v>
      </c>
      <c r="AI141" s="2"/>
      <c r="AJ141" s="15" t="str">
        <f t="shared" ref="AJ141:AJ204" si="75">IF(AI141="","",+(AI141-AI140)/AI140)</f>
        <v/>
      </c>
      <c r="AK141" s="15">
        <f>IF(AJ141="",0,AVERAGE(AJ$10:AJ141))</f>
        <v>0</v>
      </c>
      <c r="AL141" s="15">
        <f>IF(AJ140="",0,VAR(AJ$10:AJ141))</f>
        <v>0</v>
      </c>
      <c r="AN141" s="2"/>
      <c r="AO141" s="15" t="str">
        <f t="shared" ref="AO141:AO204" si="76">IF(AN141="","",+(AN141-AN140)/AN140)</f>
        <v/>
      </c>
      <c r="AP141" s="15">
        <f>IF(AO141="",0,AVERAGE(AO$10:AO141))</f>
        <v>0</v>
      </c>
      <c r="AQ141" s="15">
        <f>IF(AO140="",0,VAR(AO$10:AO141))</f>
        <v>0</v>
      </c>
      <c r="AS141" s="2"/>
      <c r="AT141" s="15" t="str">
        <f t="shared" ref="AT141:AT204" si="77">IF(AS141="","",+(AS141-AS140)/AS140)</f>
        <v/>
      </c>
      <c r="AU141" s="15">
        <f>IF(AT141="",0,AVERAGE(AT$10:AT141))</f>
        <v>0</v>
      </c>
      <c r="AV141" s="15">
        <f>IF(AT140="",0,VAR(AT$10:AT141))</f>
        <v>0</v>
      </c>
      <c r="AX141" s="2"/>
      <c r="AY141" s="15" t="str">
        <f t="shared" ref="AY141:AY204" si="78">IF(AX141="","",+(AX141-AX140)/AX140)</f>
        <v/>
      </c>
      <c r="AZ141" s="15">
        <f>IF(AY141="",0,AVERAGE(AY$10:AY141))</f>
        <v>0</v>
      </c>
      <c r="BA141" s="15">
        <f>IF(AY140="",0,VAR(AY$10:AY141))</f>
        <v>0</v>
      </c>
    </row>
    <row r="142" spans="3:53" x14ac:dyDescent="0.25">
      <c r="C142" s="2"/>
      <c r="E142" s="2"/>
      <c r="F142" s="15" t="str">
        <f t="shared" ref="F142" si="79">IF(E142="","",+(E142-E141)/E141)</f>
        <v/>
      </c>
      <c r="G142" s="15">
        <f>IF(F142="",0,AVERAGE($F$10:F142))</f>
        <v>0</v>
      </c>
      <c r="H142" s="15">
        <f>IF(F141="",0,VAR($F$10:F142))</f>
        <v>0</v>
      </c>
      <c r="J142" s="2"/>
      <c r="K142" s="15" t="str">
        <f t="shared" si="72"/>
        <v/>
      </c>
      <c r="L142" s="15">
        <f>IF(K142="",0,AVERAGE($K$10:K142))</f>
        <v>0</v>
      </c>
      <c r="M142" s="15">
        <f>IF(K141="",0,VAR($K$10:K142))</f>
        <v>0</v>
      </c>
      <c r="O142" s="2"/>
      <c r="P142" s="15" t="str">
        <f t="shared" si="73"/>
        <v/>
      </c>
      <c r="Q142" s="15">
        <f>IF(P142="",0,AVERAGE(P$10:P142))</f>
        <v>0</v>
      </c>
      <c r="R142" s="15">
        <f>IF(P141="",0,VAR(P$10:P142))</f>
        <v>0</v>
      </c>
      <c r="T142" s="2"/>
      <c r="U142" s="15" t="str">
        <f t="shared" ref="U142:U205" si="80">IF(T142="","",+(T142-T141)/T141)</f>
        <v/>
      </c>
      <c r="V142" s="15">
        <f>IF(U142="",0,AVERAGE(U$10:U142))</f>
        <v>0</v>
      </c>
      <c r="W142" s="15">
        <f>IF(U141="",0,VAR(U$10:U142))</f>
        <v>0</v>
      </c>
      <c r="Y142" s="2"/>
      <c r="Z142" s="15" t="str">
        <f t="shared" si="74"/>
        <v/>
      </c>
      <c r="AA142" s="15">
        <f>IF(Z142="",0,AVERAGE(Z$10:Z142))</f>
        <v>0</v>
      </c>
      <c r="AB142" s="15">
        <f>IF(Z141="",0,VAR(Z$10:Z142))</f>
        <v>0</v>
      </c>
      <c r="AD142" s="2"/>
      <c r="AE142" s="15" t="str">
        <f t="shared" ref="AE142:AE205" si="81">IF(AD142="","",+(AD142-AD141)/AD141)</f>
        <v/>
      </c>
      <c r="AF142" s="15">
        <f>IF(AE142="",0,AVERAGE(AE$10:AE142))</f>
        <v>0</v>
      </c>
      <c r="AG142" s="15">
        <f>IF(AE141="",0,VAR(AE$10:AE142))</f>
        <v>0</v>
      </c>
      <c r="AI142" s="2"/>
      <c r="AJ142" s="15" t="str">
        <f t="shared" si="75"/>
        <v/>
      </c>
      <c r="AK142" s="15">
        <f>IF(AJ142="",0,AVERAGE(AJ$10:AJ142))</f>
        <v>0</v>
      </c>
      <c r="AL142" s="15">
        <f>IF(AJ141="",0,VAR(AJ$10:AJ142))</f>
        <v>0</v>
      </c>
      <c r="AN142" s="2"/>
      <c r="AO142" s="15" t="str">
        <f t="shared" si="76"/>
        <v/>
      </c>
      <c r="AP142" s="15">
        <f>IF(AO142="",0,AVERAGE(AO$10:AO142))</f>
        <v>0</v>
      </c>
      <c r="AQ142" s="15">
        <f>IF(AO141="",0,VAR(AO$10:AO142))</f>
        <v>0</v>
      </c>
      <c r="AS142" s="2"/>
      <c r="AT142" s="15" t="str">
        <f t="shared" si="77"/>
        <v/>
      </c>
      <c r="AU142" s="15">
        <f>IF(AT142="",0,AVERAGE(AT$10:AT142))</f>
        <v>0</v>
      </c>
      <c r="AV142" s="15">
        <f>IF(AT141="",0,VAR(AT$10:AT142))</f>
        <v>0</v>
      </c>
      <c r="AX142" s="2"/>
      <c r="AY142" s="15" t="str">
        <f t="shared" si="78"/>
        <v/>
      </c>
      <c r="AZ142" s="15">
        <f>IF(AY142="",0,AVERAGE(AY$10:AY142))</f>
        <v>0</v>
      </c>
      <c r="BA142" s="15">
        <f>IF(AY141="",0,VAR(AY$10:AY142))</f>
        <v>0</v>
      </c>
    </row>
    <row r="143" spans="3:53" x14ac:dyDescent="0.25">
      <c r="C143" s="2"/>
      <c r="E143" s="2"/>
      <c r="F143" s="15" t="str">
        <f t="shared" si="71"/>
        <v/>
      </c>
      <c r="G143" s="15">
        <f>IF(F143="",0,AVERAGE($F$10:F143))</f>
        <v>0</v>
      </c>
      <c r="H143" s="15">
        <f>IF(F142="",0,VAR($F$10:F143))</f>
        <v>0</v>
      </c>
      <c r="J143" s="2"/>
      <c r="K143" s="15" t="str">
        <f t="shared" si="72"/>
        <v/>
      </c>
      <c r="L143" s="15">
        <f>IF(K143="",0,AVERAGE($K$10:K143))</f>
        <v>0</v>
      </c>
      <c r="M143" s="15">
        <f>IF(K142="",0,VAR($K$10:K143))</f>
        <v>0</v>
      </c>
      <c r="O143" s="2"/>
      <c r="P143" s="15" t="str">
        <f t="shared" si="73"/>
        <v/>
      </c>
      <c r="Q143" s="15">
        <f>IF(P143="",0,AVERAGE(P$10:P143))</f>
        <v>0</v>
      </c>
      <c r="R143" s="15">
        <f>IF(P142="",0,VAR(P$10:P143))</f>
        <v>0</v>
      </c>
      <c r="T143" s="2"/>
      <c r="U143" s="15" t="str">
        <f t="shared" si="80"/>
        <v/>
      </c>
      <c r="V143" s="15">
        <f>IF(U143="",0,AVERAGE(U$10:U143))</f>
        <v>0</v>
      </c>
      <c r="W143" s="15">
        <f>IF(U142="",0,VAR(U$10:U143))</f>
        <v>0</v>
      </c>
      <c r="Y143" s="2"/>
      <c r="Z143" s="15" t="str">
        <f t="shared" si="74"/>
        <v/>
      </c>
      <c r="AA143" s="15">
        <f>IF(Z143="",0,AVERAGE(Z$10:Z143))</f>
        <v>0</v>
      </c>
      <c r="AB143" s="15">
        <f>IF(Z142="",0,VAR(Z$10:Z143))</f>
        <v>0</v>
      </c>
      <c r="AD143" s="2"/>
      <c r="AE143" s="15" t="str">
        <f t="shared" si="81"/>
        <v/>
      </c>
      <c r="AF143" s="15">
        <f>IF(AE143="",0,AVERAGE(AE$10:AE143))</f>
        <v>0</v>
      </c>
      <c r="AG143" s="15">
        <f>IF(AE142="",0,VAR(AE$10:AE143))</f>
        <v>0</v>
      </c>
      <c r="AI143" s="2"/>
      <c r="AJ143" s="15" t="str">
        <f t="shared" si="75"/>
        <v/>
      </c>
      <c r="AK143" s="15">
        <f>IF(AJ143="",0,AVERAGE(AJ$10:AJ143))</f>
        <v>0</v>
      </c>
      <c r="AL143" s="15">
        <f>IF(AJ142="",0,VAR(AJ$10:AJ143))</f>
        <v>0</v>
      </c>
      <c r="AN143" s="2"/>
      <c r="AO143" s="15" t="str">
        <f t="shared" si="76"/>
        <v/>
      </c>
      <c r="AP143" s="15">
        <f>IF(AO143="",0,AVERAGE(AO$10:AO143))</f>
        <v>0</v>
      </c>
      <c r="AQ143" s="15">
        <f>IF(AO142="",0,VAR(AO$10:AO143))</f>
        <v>0</v>
      </c>
      <c r="AS143" s="2"/>
      <c r="AT143" s="15" t="str">
        <f t="shared" si="77"/>
        <v/>
      </c>
      <c r="AU143" s="15">
        <f>IF(AT143="",0,AVERAGE(AT$10:AT143))</f>
        <v>0</v>
      </c>
      <c r="AV143" s="15">
        <f>IF(AT142="",0,VAR(AT$10:AT143))</f>
        <v>0</v>
      </c>
      <c r="AX143" s="2"/>
      <c r="AY143" s="15" t="str">
        <f t="shared" si="78"/>
        <v/>
      </c>
      <c r="AZ143" s="15">
        <f>IF(AY143="",0,AVERAGE(AY$10:AY143))</f>
        <v>0</v>
      </c>
      <c r="BA143" s="15">
        <f>IF(AY142="",0,VAR(AY$10:AY143))</f>
        <v>0</v>
      </c>
    </row>
    <row r="144" spans="3:53" x14ac:dyDescent="0.25">
      <c r="C144" s="2"/>
      <c r="E144" s="2"/>
      <c r="F144" s="15"/>
      <c r="G144" s="15">
        <f>IF(F144="",0,AVERAGE($F$10:F144))</f>
        <v>0</v>
      </c>
      <c r="H144" s="15">
        <f>IF(F143="",0,VAR($F$10:F144))</f>
        <v>0</v>
      </c>
      <c r="J144" s="2"/>
      <c r="K144" s="15" t="str">
        <f t="shared" si="72"/>
        <v/>
      </c>
      <c r="L144" s="15">
        <f>IF(K144="",0,AVERAGE($K$10:K144))</f>
        <v>0</v>
      </c>
      <c r="M144" s="15">
        <f>IF(K143="",0,VAR($K$10:K144))</f>
        <v>0</v>
      </c>
      <c r="O144" s="2"/>
      <c r="P144" s="15" t="str">
        <f t="shared" si="73"/>
        <v/>
      </c>
      <c r="Q144" s="15">
        <f>IF(P144="",0,AVERAGE(P$10:P144))</f>
        <v>0</v>
      </c>
      <c r="R144" s="15">
        <f>IF(P143="",0,VAR(P$10:P144))</f>
        <v>0</v>
      </c>
      <c r="T144" s="2"/>
      <c r="U144" s="15" t="str">
        <f t="shared" si="80"/>
        <v/>
      </c>
      <c r="V144" s="15">
        <f>IF(U144="",0,AVERAGE(U$10:U144))</f>
        <v>0</v>
      </c>
      <c r="W144" s="15">
        <f>IF(U143="",0,VAR(U$10:U144))</f>
        <v>0</v>
      </c>
      <c r="Y144" s="2"/>
      <c r="Z144" s="15" t="str">
        <f t="shared" si="74"/>
        <v/>
      </c>
      <c r="AA144" s="15">
        <f>IF(Z144="",0,AVERAGE(Z$10:Z144))</f>
        <v>0</v>
      </c>
      <c r="AB144" s="15">
        <f>IF(Z143="",0,VAR(Z$10:Z144))</f>
        <v>0</v>
      </c>
      <c r="AD144" s="2"/>
      <c r="AE144" s="15" t="str">
        <f t="shared" si="81"/>
        <v/>
      </c>
      <c r="AF144" s="15">
        <f>IF(AE144="",0,AVERAGE(AE$10:AE144))</f>
        <v>0</v>
      </c>
      <c r="AG144" s="15">
        <f>IF(AE143="",0,VAR(AE$10:AE144))</f>
        <v>0</v>
      </c>
      <c r="AI144" s="2"/>
      <c r="AJ144" s="15" t="str">
        <f t="shared" si="75"/>
        <v/>
      </c>
      <c r="AK144" s="15">
        <f>IF(AJ144="",0,AVERAGE(AJ$10:AJ144))</f>
        <v>0</v>
      </c>
      <c r="AL144" s="15">
        <f>IF(AJ143="",0,VAR(AJ$10:AJ144))</f>
        <v>0</v>
      </c>
      <c r="AN144" s="2"/>
      <c r="AO144" s="15" t="str">
        <f t="shared" si="76"/>
        <v/>
      </c>
      <c r="AP144" s="15">
        <f>IF(AO144="",0,AVERAGE(AO$10:AO144))</f>
        <v>0</v>
      </c>
      <c r="AQ144" s="15">
        <f>IF(AO143="",0,VAR(AO$10:AO144))</f>
        <v>0</v>
      </c>
      <c r="AS144" s="2"/>
      <c r="AT144" s="15" t="str">
        <f t="shared" si="77"/>
        <v/>
      </c>
      <c r="AU144" s="15">
        <f>IF(AT144="",0,AVERAGE(AT$10:AT144))</f>
        <v>0</v>
      </c>
      <c r="AV144" s="15">
        <f>IF(AT143="",0,VAR(AT$10:AT144))</f>
        <v>0</v>
      </c>
      <c r="AX144" s="2"/>
      <c r="AY144" s="15" t="str">
        <f t="shared" si="78"/>
        <v/>
      </c>
      <c r="AZ144" s="15">
        <f>IF(AY144="",0,AVERAGE(AY$10:AY144))</f>
        <v>0</v>
      </c>
      <c r="BA144" s="15">
        <f>IF(AY143="",0,VAR(AY$10:AY144))</f>
        <v>0</v>
      </c>
    </row>
    <row r="145" spans="3:53" x14ac:dyDescent="0.25">
      <c r="C145" s="2"/>
      <c r="E145" s="2"/>
      <c r="F145" s="15" t="str">
        <f t="shared" ref="F145" si="82">IF(E145="","",+(E145-E144)/E144)</f>
        <v/>
      </c>
      <c r="G145" s="15">
        <f>IF(F145="",0,AVERAGE($F$10:F145))</f>
        <v>0</v>
      </c>
      <c r="H145" s="15">
        <f>IF(F144="",0,VAR($F$10:F145))</f>
        <v>0</v>
      </c>
      <c r="J145" s="2"/>
      <c r="K145" s="15" t="str">
        <f t="shared" si="72"/>
        <v/>
      </c>
      <c r="L145" s="15">
        <f>IF(K145="",0,AVERAGE($K$10:K145))</f>
        <v>0</v>
      </c>
      <c r="M145" s="15">
        <f>IF(K144="",0,VAR($K$10:K145))</f>
        <v>0</v>
      </c>
      <c r="O145" s="2"/>
      <c r="P145" s="15" t="str">
        <f t="shared" si="73"/>
        <v/>
      </c>
      <c r="Q145" s="15">
        <f>IF(P145="",0,AVERAGE(P$10:P145))</f>
        <v>0</v>
      </c>
      <c r="R145" s="15">
        <f>IF(P144="",0,VAR(P$10:P145))</f>
        <v>0</v>
      </c>
      <c r="T145" s="2"/>
      <c r="U145" s="15" t="str">
        <f t="shared" si="80"/>
        <v/>
      </c>
      <c r="V145" s="15">
        <f>IF(U145="",0,AVERAGE(U$10:U145))</f>
        <v>0</v>
      </c>
      <c r="W145" s="15">
        <f>IF(U144="",0,VAR(U$10:U145))</f>
        <v>0</v>
      </c>
      <c r="Y145" s="2"/>
      <c r="Z145" s="15" t="str">
        <f t="shared" si="74"/>
        <v/>
      </c>
      <c r="AA145" s="15">
        <f>IF(Z145="",0,AVERAGE(Z$10:Z145))</f>
        <v>0</v>
      </c>
      <c r="AB145" s="15">
        <f>IF(Z144="",0,VAR(Z$10:Z145))</f>
        <v>0</v>
      </c>
      <c r="AD145" s="2"/>
      <c r="AE145" s="15" t="str">
        <f t="shared" si="81"/>
        <v/>
      </c>
      <c r="AF145" s="15">
        <f>IF(AE145="",0,AVERAGE(AE$10:AE145))</f>
        <v>0</v>
      </c>
      <c r="AG145" s="15">
        <f>IF(AE144="",0,VAR(AE$10:AE145))</f>
        <v>0</v>
      </c>
      <c r="AI145" s="2"/>
      <c r="AJ145" s="15" t="str">
        <f t="shared" si="75"/>
        <v/>
      </c>
      <c r="AK145" s="15">
        <f>IF(AJ145="",0,AVERAGE(AJ$10:AJ145))</f>
        <v>0</v>
      </c>
      <c r="AL145" s="15">
        <f>IF(AJ144="",0,VAR(AJ$10:AJ145))</f>
        <v>0</v>
      </c>
      <c r="AN145" s="2"/>
      <c r="AO145" s="15" t="str">
        <f t="shared" si="76"/>
        <v/>
      </c>
      <c r="AP145" s="15">
        <f>IF(AO145="",0,AVERAGE(AO$10:AO145))</f>
        <v>0</v>
      </c>
      <c r="AQ145" s="15">
        <f>IF(AO144="",0,VAR(AO$10:AO145))</f>
        <v>0</v>
      </c>
      <c r="AS145" s="2"/>
      <c r="AT145" s="15" t="str">
        <f t="shared" si="77"/>
        <v/>
      </c>
      <c r="AU145" s="15">
        <f>IF(AT145="",0,AVERAGE(AT$10:AT145))</f>
        <v>0</v>
      </c>
      <c r="AV145" s="15">
        <f>IF(AT144="",0,VAR(AT$10:AT145))</f>
        <v>0</v>
      </c>
      <c r="AX145" s="2"/>
      <c r="AY145" s="15" t="str">
        <f t="shared" si="78"/>
        <v/>
      </c>
      <c r="AZ145" s="15">
        <f>IF(AY145="",0,AVERAGE(AY$10:AY145))</f>
        <v>0</v>
      </c>
      <c r="BA145" s="15">
        <f>IF(AY144="",0,VAR(AY$10:AY145))</f>
        <v>0</v>
      </c>
    </row>
    <row r="146" spans="3:53" x14ac:dyDescent="0.25">
      <c r="C146" s="2"/>
      <c r="E146" s="2"/>
      <c r="F146" s="15" t="str">
        <f t="shared" si="71"/>
        <v/>
      </c>
      <c r="G146" s="15">
        <f>IF(F146="",0,AVERAGE($F$10:F146))</f>
        <v>0</v>
      </c>
      <c r="H146" s="15">
        <f>IF(F145="",0,VAR($F$10:F146))</f>
        <v>0</v>
      </c>
      <c r="J146" s="2"/>
      <c r="K146" s="15" t="str">
        <f t="shared" si="72"/>
        <v/>
      </c>
      <c r="L146" s="15">
        <f>IF(K146="",0,AVERAGE($K$10:K146))</f>
        <v>0</v>
      </c>
      <c r="M146" s="15">
        <f>IF(K145="",0,VAR($K$10:K146))</f>
        <v>0</v>
      </c>
      <c r="O146" s="2"/>
      <c r="P146" s="15" t="str">
        <f t="shared" si="73"/>
        <v/>
      </c>
      <c r="Q146" s="15">
        <f>IF(P146="",0,AVERAGE(P$10:P146))</f>
        <v>0</v>
      </c>
      <c r="R146" s="15">
        <f>IF(P145="",0,VAR(P$10:P146))</f>
        <v>0</v>
      </c>
      <c r="T146" s="2"/>
      <c r="U146" s="15" t="str">
        <f t="shared" si="80"/>
        <v/>
      </c>
      <c r="V146" s="15">
        <f>IF(U146="",0,AVERAGE(U$10:U146))</f>
        <v>0</v>
      </c>
      <c r="W146" s="15">
        <f>IF(U145="",0,VAR(U$10:U146))</f>
        <v>0</v>
      </c>
      <c r="Y146" s="2"/>
      <c r="Z146" s="15" t="str">
        <f t="shared" si="74"/>
        <v/>
      </c>
      <c r="AA146" s="15">
        <f>IF(Z146="",0,AVERAGE(Z$10:Z146))</f>
        <v>0</v>
      </c>
      <c r="AB146" s="15">
        <f>IF(Z145="",0,VAR(Z$10:Z146))</f>
        <v>0</v>
      </c>
      <c r="AD146" s="2"/>
      <c r="AE146" s="15" t="str">
        <f t="shared" si="81"/>
        <v/>
      </c>
      <c r="AF146" s="15">
        <f>IF(AE146="",0,AVERAGE(AE$10:AE146))</f>
        <v>0</v>
      </c>
      <c r="AG146" s="15">
        <f>IF(AE145="",0,VAR(AE$10:AE146))</f>
        <v>0</v>
      </c>
      <c r="AI146" s="2"/>
      <c r="AJ146" s="15" t="str">
        <f t="shared" si="75"/>
        <v/>
      </c>
      <c r="AK146" s="15">
        <f>IF(AJ146="",0,AVERAGE(AJ$10:AJ146))</f>
        <v>0</v>
      </c>
      <c r="AL146" s="15">
        <f>IF(AJ145="",0,VAR(AJ$10:AJ146))</f>
        <v>0</v>
      </c>
      <c r="AN146" s="2"/>
      <c r="AO146" s="15" t="str">
        <f t="shared" si="76"/>
        <v/>
      </c>
      <c r="AP146" s="15">
        <f>IF(AO146="",0,AVERAGE(AO$10:AO146))</f>
        <v>0</v>
      </c>
      <c r="AQ146" s="15">
        <f>IF(AO145="",0,VAR(AO$10:AO146))</f>
        <v>0</v>
      </c>
      <c r="AS146" s="2"/>
      <c r="AT146" s="15" t="str">
        <f t="shared" si="77"/>
        <v/>
      </c>
      <c r="AU146" s="15">
        <f>IF(AT146="",0,AVERAGE(AT$10:AT146))</f>
        <v>0</v>
      </c>
      <c r="AV146" s="15">
        <f>IF(AT145="",0,VAR(AT$10:AT146))</f>
        <v>0</v>
      </c>
      <c r="AX146" s="2"/>
      <c r="AY146" s="15" t="str">
        <f t="shared" si="78"/>
        <v/>
      </c>
      <c r="AZ146" s="15">
        <f>IF(AY146="",0,AVERAGE(AY$10:AY146))</f>
        <v>0</v>
      </c>
      <c r="BA146" s="15">
        <f>IF(AY145="",0,VAR(AY$10:AY146))</f>
        <v>0</v>
      </c>
    </row>
    <row r="147" spans="3:53" x14ac:dyDescent="0.25">
      <c r="C147" s="2"/>
      <c r="E147" s="2"/>
      <c r="F147" s="15"/>
      <c r="G147" s="15">
        <f>IF(F147="",0,AVERAGE($F$10:F147))</f>
        <v>0</v>
      </c>
      <c r="H147" s="15">
        <f>IF(F146="",0,VAR($F$10:F147))</f>
        <v>0</v>
      </c>
      <c r="J147" s="2"/>
      <c r="K147" s="15" t="str">
        <f t="shared" si="72"/>
        <v/>
      </c>
      <c r="L147" s="15">
        <f>IF(K147="",0,AVERAGE($K$10:K147))</f>
        <v>0</v>
      </c>
      <c r="M147" s="15">
        <f>IF(K146="",0,VAR($K$10:K147))</f>
        <v>0</v>
      </c>
      <c r="O147" s="2"/>
      <c r="P147" s="15" t="str">
        <f t="shared" si="73"/>
        <v/>
      </c>
      <c r="Q147" s="15">
        <f>IF(P147="",0,AVERAGE(P$10:P147))</f>
        <v>0</v>
      </c>
      <c r="R147" s="15">
        <f>IF(P146="",0,VAR(P$10:P147))</f>
        <v>0</v>
      </c>
      <c r="T147" s="2"/>
      <c r="U147" s="15" t="str">
        <f t="shared" si="80"/>
        <v/>
      </c>
      <c r="V147" s="15">
        <f>IF(U147="",0,AVERAGE(U$10:U147))</f>
        <v>0</v>
      </c>
      <c r="W147" s="15">
        <f>IF(U146="",0,VAR(U$10:U147))</f>
        <v>0</v>
      </c>
      <c r="Y147" s="2"/>
      <c r="Z147" s="15" t="str">
        <f t="shared" si="74"/>
        <v/>
      </c>
      <c r="AA147" s="15">
        <f>IF(Z147="",0,AVERAGE(Z$10:Z147))</f>
        <v>0</v>
      </c>
      <c r="AB147" s="15">
        <f>IF(Z146="",0,VAR(Z$10:Z147))</f>
        <v>0</v>
      </c>
      <c r="AD147" s="2"/>
      <c r="AE147" s="15" t="str">
        <f t="shared" si="81"/>
        <v/>
      </c>
      <c r="AF147" s="15">
        <f>IF(AE147="",0,AVERAGE(AE$10:AE147))</f>
        <v>0</v>
      </c>
      <c r="AG147" s="15">
        <f>IF(AE146="",0,VAR(AE$10:AE147))</f>
        <v>0</v>
      </c>
      <c r="AI147" s="2"/>
      <c r="AJ147" s="15" t="str">
        <f t="shared" si="75"/>
        <v/>
      </c>
      <c r="AK147" s="15">
        <f>IF(AJ147="",0,AVERAGE(AJ$10:AJ147))</f>
        <v>0</v>
      </c>
      <c r="AL147" s="15">
        <f>IF(AJ146="",0,VAR(AJ$10:AJ147))</f>
        <v>0</v>
      </c>
      <c r="AN147" s="2"/>
      <c r="AO147" s="15" t="str">
        <f t="shared" si="76"/>
        <v/>
      </c>
      <c r="AP147" s="15">
        <f>IF(AO147="",0,AVERAGE(AO$10:AO147))</f>
        <v>0</v>
      </c>
      <c r="AQ147" s="15">
        <f>IF(AO146="",0,VAR(AO$10:AO147))</f>
        <v>0</v>
      </c>
      <c r="AS147" s="2"/>
      <c r="AT147" s="15" t="str">
        <f t="shared" si="77"/>
        <v/>
      </c>
      <c r="AU147" s="15">
        <f>IF(AT147="",0,AVERAGE(AT$10:AT147))</f>
        <v>0</v>
      </c>
      <c r="AV147" s="15">
        <f>IF(AT146="",0,VAR(AT$10:AT147))</f>
        <v>0</v>
      </c>
      <c r="AX147" s="2"/>
      <c r="AY147" s="15" t="str">
        <f t="shared" si="78"/>
        <v/>
      </c>
      <c r="AZ147" s="15">
        <f>IF(AY147="",0,AVERAGE(AY$10:AY147))</f>
        <v>0</v>
      </c>
      <c r="BA147" s="15">
        <f>IF(AY146="",0,VAR(AY$10:AY147))</f>
        <v>0</v>
      </c>
    </row>
    <row r="148" spans="3:53" x14ac:dyDescent="0.25">
      <c r="C148" s="2"/>
      <c r="E148" s="2"/>
      <c r="F148" s="15" t="str">
        <f t="shared" ref="F148" si="83">IF(E148="","",+(E148-E147)/E147)</f>
        <v/>
      </c>
      <c r="G148" s="15">
        <f>IF(F148="",0,AVERAGE($F$10:F148))</f>
        <v>0</v>
      </c>
      <c r="H148" s="15">
        <f>IF(F147="",0,VAR($F$10:F148))</f>
        <v>0</v>
      </c>
      <c r="J148" s="2"/>
      <c r="K148" s="15" t="str">
        <f t="shared" si="72"/>
        <v/>
      </c>
      <c r="L148" s="15">
        <f>IF(K148="",0,AVERAGE($K$10:K148))</f>
        <v>0</v>
      </c>
      <c r="M148" s="15">
        <f>IF(K147="",0,VAR($K$10:K148))</f>
        <v>0</v>
      </c>
      <c r="O148" s="2"/>
      <c r="P148" s="15" t="str">
        <f t="shared" si="73"/>
        <v/>
      </c>
      <c r="Q148" s="15">
        <f>IF(P148="",0,AVERAGE(P$10:P148))</f>
        <v>0</v>
      </c>
      <c r="R148" s="15">
        <f>IF(P147="",0,VAR(P$10:P148))</f>
        <v>0</v>
      </c>
      <c r="T148" s="2"/>
      <c r="U148" s="15" t="str">
        <f t="shared" si="80"/>
        <v/>
      </c>
      <c r="V148" s="15">
        <f>IF(U148="",0,AVERAGE(U$10:U148))</f>
        <v>0</v>
      </c>
      <c r="W148" s="15">
        <f>IF(U147="",0,VAR(U$10:U148))</f>
        <v>0</v>
      </c>
      <c r="Y148" s="2"/>
      <c r="Z148" s="15" t="str">
        <f t="shared" si="74"/>
        <v/>
      </c>
      <c r="AA148" s="15">
        <f>IF(Z148="",0,AVERAGE(Z$10:Z148))</f>
        <v>0</v>
      </c>
      <c r="AB148" s="15">
        <f>IF(Z147="",0,VAR(Z$10:Z148))</f>
        <v>0</v>
      </c>
      <c r="AD148" s="2"/>
      <c r="AE148" s="15" t="str">
        <f t="shared" si="81"/>
        <v/>
      </c>
      <c r="AF148" s="15">
        <f>IF(AE148="",0,AVERAGE(AE$10:AE148))</f>
        <v>0</v>
      </c>
      <c r="AG148" s="15">
        <f>IF(AE147="",0,VAR(AE$10:AE148))</f>
        <v>0</v>
      </c>
      <c r="AI148" s="2"/>
      <c r="AJ148" s="15" t="str">
        <f t="shared" si="75"/>
        <v/>
      </c>
      <c r="AK148" s="15">
        <f>IF(AJ148="",0,AVERAGE(AJ$10:AJ148))</f>
        <v>0</v>
      </c>
      <c r="AL148" s="15">
        <f>IF(AJ147="",0,VAR(AJ$10:AJ148))</f>
        <v>0</v>
      </c>
      <c r="AN148" s="2"/>
      <c r="AO148" s="15" t="str">
        <f t="shared" si="76"/>
        <v/>
      </c>
      <c r="AP148" s="15">
        <f>IF(AO148="",0,AVERAGE(AO$10:AO148))</f>
        <v>0</v>
      </c>
      <c r="AQ148" s="15">
        <f>IF(AO147="",0,VAR(AO$10:AO148))</f>
        <v>0</v>
      </c>
      <c r="AS148" s="2"/>
      <c r="AT148" s="15" t="str">
        <f t="shared" si="77"/>
        <v/>
      </c>
      <c r="AU148" s="15">
        <f>IF(AT148="",0,AVERAGE(AT$10:AT148))</f>
        <v>0</v>
      </c>
      <c r="AV148" s="15">
        <f>IF(AT147="",0,VAR(AT$10:AT148))</f>
        <v>0</v>
      </c>
      <c r="AX148" s="2"/>
      <c r="AY148" s="15" t="str">
        <f t="shared" si="78"/>
        <v/>
      </c>
      <c r="AZ148" s="15">
        <f>IF(AY148="",0,AVERAGE(AY$10:AY148))</f>
        <v>0</v>
      </c>
      <c r="BA148" s="15">
        <f>IF(AY147="",0,VAR(AY$10:AY148))</f>
        <v>0</v>
      </c>
    </row>
    <row r="149" spans="3:53" x14ac:dyDescent="0.25">
      <c r="C149" s="2"/>
      <c r="E149" s="2"/>
      <c r="F149" s="15" t="str">
        <f t="shared" si="71"/>
        <v/>
      </c>
      <c r="G149" s="15">
        <f>IF(F149="",0,AVERAGE($F$10:F149))</f>
        <v>0</v>
      </c>
      <c r="H149" s="15">
        <f>IF(F148="",0,VAR($F$10:F149))</f>
        <v>0</v>
      </c>
      <c r="J149" s="2"/>
      <c r="K149" s="15" t="str">
        <f t="shared" si="72"/>
        <v/>
      </c>
      <c r="L149" s="15">
        <f>IF(K149="",0,AVERAGE($K$10:K149))</f>
        <v>0</v>
      </c>
      <c r="M149" s="15">
        <f>IF(K148="",0,VAR($K$10:K149))</f>
        <v>0</v>
      </c>
      <c r="O149" s="2"/>
      <c r="P149" s="15" t="str">
        <f t="shared" si="73"/>
        <v/>
      </c>
      <c r="Q149" s="15">
        <f>IF(P149="",0,AVERAGE(P$10:P149))</f>
        <v>0</v>
      </c>
      <c r="R149" s="15">
        <f>IF(P148="",0,VAR(P$10:P149))</f>
        <v>0</v>
      </c>
      <c r="T149" s="2"/>
      <c r="U149" s="15" t="str">
        <f t="shared" si="80"/>
        <v/>
      </c>
      <c r="V149" s="15">
        <f>IF(U149="",0,AVERAGE(U$10:U149))</f>
        <v>0</v>
      </c>
      <c r="W149" s="15">
        <f>IF(U148="",0,VAR(U$10:U149))</f>
        <v>0</v>
      </c>
      <c r="Y149" s="2"/>
      <c r="Z149" s="15" t="str">
        <f t="shared" si="74"/>
        <v/>
      </c>
      <c r="AA149" s="15">
        <f>IF(Z149="",0,AVERAGE(Z$10:Z149))</f>
        <v>0</v>
      </c>
      <c r="AB149" s="15">
        <f>IF(Z148="",0,VAR(Z$10:Z149))</f>
        <v>0</v>
      </c>
      <c r="AD149" s="2"/>
      <c r="AE149" s="15" t="str">
        <f t="shared" si="81"/>
        <v/>
      </c>
      <c r="AF149" s="15">
        <f>IF(AE149="",0,AVERAGE(AE$10:AE149))</f>
        <v>0</v>
      </c>
      <c r="AG149" s="15">
        <f>IF(AE148="",0,VAR(AE$10:AE149))</f>
        <v>0</v>
      </c>
      <c r="AI149" s="2"/>
      <c r="AJ149" s="15" t="str">
        <f t="shared" si="75"/>
        <v/>
      </c>
      <c r="AK149" s="15">
        <f>IF(AJ149="",0,AVERAGE(AJ$10:AJ149))</f>
        <v>0</v>
      </c>
      <c r="AL149" s="15">
        <f>IF(AJ148="",0,VAR(AJ$10:AJ149))</f>
        <v>0</v>
      </c>
      <c r="AN149" s="2"/>
      <c r="AO149" s="15" t="str">
        <f t="shared" si="76"/>
        <v/>
      </c>
      <c r="AP149" s="15">
        <f>IF(AO149="",0,AVERAGE(AO$10:AO149))</f>
        <v>0</v>
      </c>
      <c r="AQ149" s="15">
        <f>IF(AO148="",0,VAR(AO$10:AO149))</f>
        <v>0</v>
      </c>
      <c r="AS149" s="2"/>
      <c r="AT149" s="15" t="str">
        <f t="shared" si="77"/>
        <v/>
      </c>
      <c r="AU149" s="15">
        <f>IF(AT149="",0,AVERAGE(AT$10:AT149))</f>
        <v>0</v>
      </c>
      <c r="AV149" s="15">
        <f>IF(AT148="",0,VAR(AT$10:AT149))</f>
        <v>0</v>
      </c>
      <c r="AX149" s="2"/>
      <c r="AY149" s="15" t="str">
        <f t="shared" si="78"/>
        <v/>
      </c>
      <c r="AZ149" s="15">
        <f>IF(AY149="",0,AVERAGE(AY$10:AY149))</f>
        <v>0</v>
      </c>
      <c r="BA149" s="15">
        <f>IF(AY148="",0,VAR(AY$10:AY149))</f>
        <v>0</v>
      </c>
    </row>
    <row r="150" spans="3:53" x14ac:dyDescent="0.25">
      <c r="C150" s="2"/>
      <c r="E150" s="2"/>
      <c r="F150" s="15"/>
      <c r="G150" s="15">
        <f>IF(F150="",0,AVERAGE($F$10:F150))</f>
        <v>0</v>
      </c>
      <c r="H150" s="15">
        <f>IF(F149="",0,VAR($F$10:F150))</f>
        <v>0</v>
      </c>
      <c r="J150" s="2"/>
      <c r="K150" s="15" t="str">
        <f t="shared" si="72"/>
        <v/>
      </c>
      <c r="L150" s="15">
        <f>IF(K150="",0,AVERAGE($K$10:K150))</f>
        <v>0</v>
      </c>
      <c r="M150" s="15">
        <f>IF(K149="",0,VAR($K$10:K150))</f>
        <v>0</v>
      </c>
      <c r="O150" s="2"/>
      <c r="P150" s="15" t="str">
        <f t="shared" si="73"/>
        <v/>
      </c>
      <c r="Q150" s="15">
        <f>IF(P150="",0,AVERAGE(P$10:P150))</f>
        <v>0</v>
      </c>
      <c r="R150" s="15">
        <f>IF(P149="",0,VAR(P$10:P150))</f>
        <v>0</v>
      </c>
      <c r="T150" s="2"/>
      <c r="U150" s="15" t="str">
        <f t="shared" si="80"/>
        <v/>
      </c>
      <c r="V150" s="15">
        <f>IF(U150="",0,AVERAGE(U$10:U150))</f>
        <v>0</v>
      </c>
      <c r="W150" s="15">
        <f>IF(U149="",0,VAR(U$10:U150))</f>
        <v>0</v>
      </c>
      <c r="Y150" s="2"/>
      <c r="Z150" s="15" t="str">
        <f t="shared" si="74"/>
        <v/>
      </c>
      <c r="AA150" s="15">
        <f>IF(Z150="",0,AVERAGE(Z$10:Z150))</f>
        <v>0</v>
      </c>
      <c r="AB150" s="15">
        <f>IF(Z149="",0,VAR(Z$10:Z150))</f>
        <v>0</v>
      </c>
      <c r="AD150" s="2"/>
      <c r="AE150" s="15" t="str">
        <f t="shared" si="81"/>
        <v/>
      </c>
      <c r="AF150" s="15">
        <f>IF(AE150="",0,AVERAGE(AE$10:AE150))</f>
        <v>0</v>
      </c>
      <c r="AG150" s="15">
        <f>IF(AE149="",0,VAR(AE$10:AE150))</f>
        <v>0</v>
      </c>
      <c r="AI150" s="2"/>
      <c r="AJ150" s="15" t="str">
        <f t="shared" si="75"/>
        <v/>
      </c>
      <c r="AK150" s="15">
        <f>IF(AJ150="",0,AVERAGE(AJ$10:AJ150))</f>
        <v>0</v>
      </c>
      <c r="AL150" s="15">
        <f>IF(AJ149="",0,VAR(AJ$10:AJ150))</f>
        <v>0</v>
      </c>
      <c r="AN150" s="2"/>
      <c r="AO150" s="15" t="str">
        <f t="shared" si="76"/>
        <v/>
      </c>
      <c r="AP150" s="15">
        <f>IF(AO150="",0,AVERAGE(AO$10:AO150))</f>
        <v>0</v>
      </c>
      <c r="AQ150" s="15">
        <f>IF(AO149="",0,VAR(AO$10:AO150))</f>
        <v>0</v>
      </c>
      <c r="AS150" s="2"/>
      <c r="AT150" s="15" t="str">
        <f t="shared" si="77"/>
        <v/>
      </c>
      <c r="AU150" s="15">
        <f>IF(AT150="",0,AVERAGE(AT$10:AT150))</f>
        <v>0</v>
      </c>
      <c r="AV150" s="15">
        <f>IF(AT149="",0,VAR(AT$10:AT150))</f>
        <v>0</v>
      </c>
      <c r="AX150" s="2"/>
      <c r="AY150" s="15" t="str">
        <f t="shared" si="78"/>
        <v/>
      </c>
      <c r="AZ150" s="15">
        <f>IF(AY150="",0,AVERAGE(AY$10:AY150))</f>
        <v>0</v>
      </c>
      <c r="BA150" s="15">
        <f>IF(AY149="",0,VAR(AY$10:AY150))</f>
        <v>0</v>
      </c>
    </row>
    <row r="151" spans="3:53" x14ac:dyDescent="0.25">
      <c r="C151" s="2"/>
      <c r="E151" s="2"/>
      <c r="F151" s="15" t="str">
        <f t="shared" ref="F151" si="84">IF(E151="","",+(E151-E150)/E150)</f>
        <v/>
      </c>
      <c r="G151" s="15">
        <f>IF(F151="",0,AVERAGE($F$10:F151))</f>
        <v>0</v>
      </c>
      <c r="H151" s="15">
        <f>IF(F150="",0,VAR($F$10:F151))</f>
        <v>0</v>
      </c>
      <c r="J151" s="2"/>
      <c r="K151" s="15" t="str">
        <f t="shared" si="72"/>
        <v/>
      </c>
      <c r="L151" s="15">
        <f>IF(K151="",0,AVERAGE($K$10:K151))</f>
        <v>0</v>
      </c>
      <c r="M151" s="15">
        <f>IF(K150="",0,VAR($K$10:K151))</f>
        <v>0</v>
      </c>
      <c r="O151" s="2"/>
      <c r="P151" s="15" t="str">
        <f t="shared" si="73"/>
        <v/>
      </c>
      <c r="Q151" s="15">
        <f>IF(P151="",0,AVERAGE(P$10:P151))</f>
        <v>0</v>
      </c>
      <c r="R151" s="15">
        <f>IF(P150="",0,VAR(P$10:P151))</f>
        <v>0</v>
      </c>
      <c r="T151" s="2"/>
      <c r="U151" s="15" t="str">
        <f t="shared" si="80"/>
        <v/>
      </c>
      <c r="V151" s="15">
        <f>IF(U151="",0,AVERAGE(U$10:U151))</f>
        <v>0</v>
      </c>
      <c r="W151" s="15">
        <f>IF(U150="",0,VAR(U$10:U151))</f>
        <v>0</v>
      </c>
      <c r="Y151" s="2"/>
      <c r="Z151" s="15" t="str">
        <f t="shared" si="74"/>
        <v/>
      </c>
      <c r="AA151" s="15">
        <f>IF(Z151="",0,AVERAGE(Z$10:Z151))</f>
        <v>0</v>
      </c>
      <c r="AB151" s="15">
        <f>IF(Z150="",0,VAR(Z$10:Z151))</f>
        <v>0</v>
      </c>
      <c r="AD151" s="2"/>
      <c r="AE151" s="15" t="str">
        <f t="shared" si="81"/>
        <v/>
      </c>
      <c r="AF151" s="15">
        <f>IF(AE151="",0,AVERAGE(AE$10:AE151))</f>
        <v>0</v>
      </c>
      <c r="AG151" s="15">
        <f>IF(AE150="",0,VAR(AE$10:AE151))</f>
        <v>0</v>
      </c>
      <c r="AI151" s="2"/>
      <c r="AJ151" s="15" t="str">
        <f t="shared" si="75"/>
        <v/>
      </c>
      <c r="AK151" s="15">
        <f>IF(AJ151="",0,AVERAGE(AJ$10:AJ151))</f>
        <v>0</v>
      </c>
      <c r="AL151" s="15">
        <f>IF(AJ150="",0,VAR(AJ$10:AJ151))</f>
        <v>0</v>
      </c>
      <c r="AN151" s="2"/>
      <c r="AO151" s="15" t="str">
        <f t="shared" si="76"/>
        <v/>
      </c>
      <c r="AP151" s="15">
        <f>IF(AO151="",0,AVERAGE(AO$10:AO151))</f>
        <v>0</v>
      </c>
      <c r="AQ151" s="15">
        <f>IF(AO150="",0,VAR(AO$10:AO151))</f>
        <v>0</v>
      </c>
      <c r="AS151" s="2"/>
      <c r="AT151" s="15" t="str">
        <f t="shared" si="77"/>
        <v/>
      </c>
      <c r="AU151" s="15">
        <f>IF(AT151="",0,AVERAGE(AT$10:AT151))</f>
        <v>0</v>
      </c>
      <c r="AV151" s="15">
        <f>IF(AT150="",0,VAR(AT$10:AT151))</f>
        <v>0</v>
      </c>
      <c r="AX151" s="2"/>
      <c r="AY151" s="15" t="str">
        <f t="shared" si="78"/>
        <v/>
      </c>
      <c r="AZ151" s="15">
        <f>IF(AY151="",0,AVERAGE(AY$10:AY151))</f>
        <v>0</v>
      </c>
      <c r="BA151" s="15">
        <f>IF(AY150="",0,VAR(AY$10:AY151))</f>
        <v>0</v>
      </c>
    </row>
    <row r="152" spans="3:53" x14ac:dyDescent="0.25">
      <c r="C152" s="2"/>
      <c r="E152" s="2"/>
      <c r="F152" s="15" t="str">
        <f t="shared" si="71"/>
        <v/>
      </c>
      <c r="G152" s="15">
        <f>IF(F152="",0,AVERAGE($F$10:F152))</f>
        <v>0</v>
      </c>
      <c r="H152" s="15">
        <f>IF(F151="",0,VAR($F$10:F152))</f>
        <v>0</v>
      </c>
      <c r="J152" s="2"/>
      <c r="K152" s="15" t="str">
        <f t="shared" si="72"/>
        <v/>
      </c>
      <c r="L152" s="15">
        <f>IF(K152="",0,AVERAGE($K$10:K152))</f>
        <v>0</v>
      </c>
      <c r="M152" s="15">
        <f>IF(K151="",0,VAR($K$10:K152))</f>
        <v>0</v>
      </c>
      <c r="O152" s="2"/>
      <c r="P152" s="15" t="str">
        <f t="shared" si="73"/>
        <v/>
      </c>
      <c r="Q152" s="15">
        <f>IF(P152="",0,AVERAGE(P$10:P152))</f>
        <v>0</v>
      </c>
      <c r="R152" s="15">
        <f>IF(P151="",0,VAR(P$10:P152))</f>
        <v>0</v>
      </c>
      <c r="T152" s="2"/>
      <c r="U152" s="15" t="str">
        <f t="shared" si="80"/>
        <v/>
      </c>
      <c r="V152" s="15">
        <f>IF(U152="",0,AVERAGE(U$10:U152))</f>
        <v>0</v>
      </c>
      <c r="W152" s="15">
        <f>IF(U151="",0,VAR(U$10:U152))</f>
        <v>0</v>
      </c>
      <c r="Y152" s="2"/>
      <c r="Z152" s="15" t="str">
        <f t="shared" si="74"/>
        <v/>
      </c>
      <c r="AA152" s="15">
        <f>IF(Z152="",0,AVERAGE(Z$10:Z152))</f>
        <v>0</v>
      </c>
      <c r="AB152" s="15">
        <f>IF(Z151="",0,VAR(Z$10:Z152))</f>
        <v>0</v>
      </c>
      <c r="AD152" s="2"/>
      <c r="AE152" s="15" t="str">
        <f t="shared" si="81"/>
        <v/>
      </c>
      <c r="AF152" s="15">
        <f>IF(AE152="",0,AVERAGE(AE$10:AE152))</f>
        <v>0</v>
      </c>
      <c r="AG152" s="15">
        <f>IF(AE151="",0,VAR(AE$10:AE152))</f>
        <v>0</v>
      </c>
      <c r="AI152" s="2"/>
      <c r="AJ152" s="15" t="str">
        <f t="shared" si="75"/>
        <v/>
      </c>
      <c r="AK152" s="15">
        <f>IF(AJ152="",0,AVERAGE(AJ$10:AJ152))</f>
        <v>0</v>
      </c>
      <c r="AL152" s="15">
        <f>IF(AJ151="",0,VAR(AJ$10:AJ152))</f>
        <v>0</v>
      </c>
      <c r="AN152" s="2"/>
      <c r="AO152" s="15" t="str">
        <f t="shared" si="76"/>
        <v/>
      </c>
      <c r="AP152" s="15">
        <f>IF(AO152="",0,AVERAGE(AO$10:AO152))</f>
        <v>0</v>
      </c>
      <c r="AQ152" s="15">
        <f>IF(AO151="",0,VAR(AO$10:AO152))</f>
        <v>0</v>
      </c>
      <c r="AS152" s="2"/>
      <c r="AT152" s="15" t="str">
        <f t="shared" si="77"/>
        <v/>
      </c>
      <c r="AU152" s="15">
        <f>IF(AT152="",0,AVERAGE(AT$10:AT152))</f>
        <v>0</v>
      </c>
      <c r="AV152" s="15">
        <f>IF(AT151="",0,VAR(AT$10:AT152))</f>
        <v>0</v>
      </c>
      <c r="AX152" s="2"/>
      <c r="AY152" s="15" t="str">
        <f t="shared" si="78"/>
        <v/>
      </c>
      <c r="AZ152" s="15">
        <f>IF(AY152="",0,AVERAGE(AY$10:AY152))</f>
        <v>0</v>
      </c>
      <c r="BA152" s="15">
        <f>IF(AY151="",0,VAR(AY$10:AY152))</f>
        <v>0</v>
      </c>
    </row>
    <row r="153" spans="3:53" x14ac:dyDescent="0.25">
      <c r="C153" s="2"/>
      <c r="E153" s="2"/>
      <c r="F153" s="15"/>
      <c r="G153" s="15">
        <f>IF(F153="",0,AVERAGE($F$10:F153))</f>
        <v>0</v>
      </c>
      <c r="H153" s="15">
        <f>IF(F152="",0,VAR($F$10:F153))</f>
        <v>0</v>
      </c>
      <c r="J153" s="2"/>
      <c r="K153" s="15" t="str">
        <f t="shared" si="72"/>
        <v/>
      </c>
      <c r="L153" s="15">
        <f>IF(K153="",0,AVERAGE($K$10:K153))</f>
        <v>0</v>
      </c>
      <c r="M153" s="15">
        <f>IF(K152="",0,VAR($K$10:K153))</f>
        <v>0</v>
      </c>
      <c r="O153" s="2"/>
      <c r="P153" s="15" t="str">
        <f t="shared" si="73"/>
        <v/>
      </c>
      <c r="Q153" s="15">
        <f>IF(P153="",0,AVERAGE(P$10:P153))</f>
        <v>0</v>
      </c>
      <c r="R153" s="15">
        <f>IF(P152="",0,VAR(P$10:P153))</f>
        <v>0</v>
      </c>
      <c r="T153" s="2"/>
      <c r="U153" s="15" t="str">
        <f t="shared" si="80"/>
        <v/>
      </c>
      <c r="V153" s="15">
        <f>IF(U153="",0,AVERAGE(U$10:U153))</f>
        <v>0</v>
      </c>
      <c r="W153" s="15">
        <f>IF(U152="",0,VAR(U$10:U153))</f>
        <v>0</v>
      </c>
      <c r="Y153" s="2"/>
      <c r="Z153" s="15" t="str">
        <f t="shared" si="74"/>
        <v/>
      </c>
      <c r="AA153" s="15">
        <f>IF(Z153="",0,AVERAGE(Z$10:Z153))</f>
        <v>0</v>
      </c>
      <c r="AB153" s="15">
        <f>IF(Z152="",0,VAR(Z$10:Z153))</f>
        <v>0</v>
      </c>
      <c r="AD153" s="2"/>
      <c r="AE153" s="15" t="str">
        <f t="shared" si="81"/>
        <v/>
      </c>
      <c r="AF153" s="15">
        <f>IF(AE153="",0,AVERAGE(AE$10:AE153))</f>
        <v>0</v>
      </c>
      <c r="AG153" s="15">
        <f>IF(AE152="",0,VAR(AE$10:AE153))</f>
        <v>0</v>
      </c>
      <c r="AI153" s="2"/>
      <c r="AJ153" s="15" t="str">
        <f t="shared" si="75"/>
        <v/>
      </c>
      <c r="AK153" s="15">
        <f>IF(AJ153="",0,AVERAGE(AJ$10:AJ153))</f>
        <v>0</v>
      </c>
      <c r="AL153" s="15">
        <f>IF(AJ152="",0,VAR(AJ$10:AJ153))</f>
        <v>0</v>
      </c>
      <c r="AN153" s="2"/>
      <c r="AO153" s="15" t="str">
        <f t="shared" si="76"/>
        <v/>
      </c>
      <c r="AP153" s="15">
        <f>IF(AO153="",0,AVERAGE(AO$10:AO153))</f>
        <v>0</v>
      </c>
      <c r="AQ153" s="15">
        <f>IF(AO152="",0,VAR(AO$10:AO153))</f>
        <v>0</v>
      </c>
      <c r="AS153" s="2"/>
      <c r="AT153" s="15" t="str">
        <f t="shared" si="77"/>
        <v/>
      </c>
      <c r="AU153" s="15">
        <f>IF(AT153="",0,AVERAGE(AT$10:AT153))</f>
        <v>0</v>
      </c>
      <c r="AV153" s="15">
        <f>IF(AT152="",0,VAR(AT$10:AT153))</f>
        <v>0</v>
      </c>
      <c r="AX153" s="2"/>
      <c r="AY153" s="15" t="str">
        <f t="shared" si="78"/>
        <v/>
      </c>
      <c r="AZ153" s="15">
        <f>IF(AY153="",0,AVERAGE(AY$10:AY153))</f>
        <v>0</v>
      </c>
      <c r="BA153" s="15">
        <f>IF(AY152="",0,VAR(AY$10:AY153))</f>
        <v>0</v>
      </c>
    </row>
    <row r="154" spans="3:53" x14ac:dyDescent="0.25">
      <c r="C154" s="2"/>
      <c r="E154" s="2"/>
      <c r="F154" s="15" t="str">
        <f t="shared" ref="F154" si="85">IF(E154="","",+(E154-E153)/E153)</f>
        <v/>
      </c>
      <c r="G154" s="15">
        <f>IF(F154="",0,AVERAGE($F$10:F154))</f>
        <v>0</v>
      </c>
      <c r="H154" s="15">
        <f>IF(F153="",0,VAR($F$10:F154))</f>
        <v>0</v>
      </c>
      <c r="J154" s="2"/>
      <c r="K154" s="15" t="str">
        <f t="shared" si="72"/>
        <v/>
      </c>
      <c r="L154" s="15">
        <f>IF(K154="",0,AVERAGE($K$10:K154))</f>
        <v>0</v>
      </c>
      <c r="M154" s="15">
        <f>IF(K153="",0,VAR($K$10:K154))</f>
        <v>0</v>
      </c>
      <c r="O154" s="2"/>
      <c r="P154" s="15" t="str">
        <f t="shared" si="73"/>
        <v/>
      </c>
      <c r="Q154" s="15">
        <f>IF(P154="",0,AVERAGE(P$10:P154))</f>
        <v>0</v>
      </c>
      <c r="R154" s="15">
        <f>IF(P153="",0,VAR(P$10:P154))</f>
        <v>0</v>
      </c>
      <c r="T154" s="2"/>
      <c r="U154" s="15" t="str">
        <f t="shared" si="80"/>
        <v/>
      </c>
      <c r="V154" s="15">
        <f>IF(U154="",0,AVERAGE(U$10:U154))</f>
        <v>0</v>
      </c>
      <c r="W154" s="15">
        <f>IF(U153="",0,VAR(U$10:U154))</f>
        <v>0</v>
      </c>
      <c r="Y154" s="2"/>
      <c r="Z154" s="15" t="str">
        <f t="shared" si="74"/>
        <v/>
      </c>
      <c r="AA154" s="15">
        <f>IF(Z154="",0,AVERAGE(Z$10:Z154))</f>
        <v>0</v>
      </c>
      <c r="AB154" s="15">
        <f>IF(Z153="",0,VAR(Z$10:Z154))</f>
        <v>0</v>
      </c>
      <c r="AD154" s="2"/>
      <c r="AE154" s="15" t="str">
        <f t="shared" si="81"/>
        <v/>
      </c>
      <c r="AF154" s="15">
        <f>IF(AE154="",0,AVERAGE(AE$10:AE154))</f>
        <v>0</v>
      </c>
      <c r="AG154" s="15">
        <f>IF(AE153="",0,VAR(AE$10:AE154))</f>
        <v>0</v>
      </c>
      <c r="AI154" s="2"/>
      <c r="AJ154" s="15" t="str">
        <f t="shared" si="75"/>
        <v/>
      </c>
      <c r="AK154" s="15">
        <f>IF(AJ154="",0,AVERAGE(AJ$10:AJ154))</f>
        <v>0</v>
      </c>
      <c r="AL154" s="15">
        <f>IF(AJ153="",0,VAR(AJ$10:AJ154))</f>
        <v>0</v>
      </c>
      <c r="AN154" s="2"/>
      <c r="AO154" s="15" t="str">
        <f t="shared" si="76"/>
        <v/>
      </c>
      <c r="AP154" s="15">
        <f>IF(AO154="",0,AVERAGE(AO$10:AO154))</f>
        <v>0</v>
      </c>
      <c r="AQ154" s="15">
        <f>IF(AO153="",0,VAR(AO$10:AO154))</f>
        <v>0</v>
      </c>
      <c r="AS154" s="2"/>
      <c r="AT154" s="15" t="str">
        <f t="shared" si="77"/>
        <v/>
      </c>
      <c r="AU154" s="15">
        <f>IF(AT154="",0,AVERAGE(AT$10:AT154))</f>
        <v>0</v>
      </c>
      <c r="AV154" s="15">
        <f>IF(AT153="",0,VAR(AT$10:AT154))</f>
        <v>0</v>
      </c>
      <c r="AX154" s="2"/>
      <c r="AY154" s="15" t="str">
        <f t="shared" si="78"/>
        <v/>
      </c>
      <c r="AZ154" s="15">
        <f>IF(AY154="",0,AVERAGE(AY$10:AY154))</f>
        <v>0</v>
      </c>
      <c r="BA154" s="15">
        <f>IF(AY153="",0,VAR(AY$10:AY154))</f>
        <v>0</v>
      </c>
    </row>
    <row r="155" spans="3:53" x14ac:dyDescent="0.25">
      <c r="C155" s="2"/>
      <c r="E155" s="2"/>
      <c r="F155" s="15" t="str">
        <f t="shared" si="71"/>
        <v/>
      </c>
      <c r="G155" s="15">
        <f>IF(F155="",0,AVERAGE($F$10:F155))</f>
        <v>0</v>
      </c>
      <c r="H155" s="15">
        <f>IF(F154="",0,VAR($F$10:F155))</f>
        <v>0</v>
      </c>
      <c r="J155" s="2"/>
      <c r="K155" s="15" t="str">
        <f t="shared" si="72"/>
        <v/>
      </c>
      <c r="L155" s="15">
        <f>IF(K155="",0,AVERAGE($K$10:K155))</f>
        <v>0</v>
      </c>
      <c r="M155" s="15">
        <f>IF(K154="",0,VAR($K$10:K155))</f>
        <v>0</v>
      </c>
      <c r="O155" s="2"/>
      <c r="P155" s="15" t="str">
        <f t="shared" si="73"/>
        <v/>
      </c>
      <c r="Q155" s="15">
        <f>IF(P155="",0,AVERAGE(P$10:P155))</f>
        <v>0</v>
      </c>
      <c r="R155" s="15">
        <f>IF(P154="",0,VAR(P$10:P155))</f>
        <v>0</v>
      </c>
      <c r="T155" s="2"/>
      <c r="U155" s="15" t="str">
        <f t="shared" si="80"/>
        <v/>
      </c>
      <c r="V155" s="15">
        <f>IF(U155="",0,AVERAGE(U$10:U155))</f>
        <v>0</v>
      </c>
      <c r="W155" s="15">
        <f>IF(U154="",0,VAR(U$10:U155))</f>
        <v>0</v>
      </c>
      <c r="Y155" s="2"/>
      <c r="Z155" s="15" t="str">
        <f t="shared" si="74"/>
        <v/>
      </c>
      <c r="AA155" s="15">
        <f>IF(Z155="",0,AVERAGE(Z$10:Z155))</f>
        <v>0</v>
      </c>
      <c r="AB155" s="15">
        <f>IF(Z154="",0,VAR(Z$10:Z155))</f>
        <v>0</v>
      </c>
      <c r="AD155" s="2"/>
      <c r="AE155" s="15" t="str">
        <f t="shared" si="81"/>
        <v/>
      </c>
      <c r="AF155" s="15">
        <f>IF(AE155="",0,AVERAGE(AE$10:AE155))</f>
        <v>0</v>
      </c>
      <c r="AG155" s="15">
        <f>IF(AE154="",0,VAR(AE$10:AE155))</f>
        <v>0</v>
      </c>
      <c r="AI155" s="2"/>
      <c r="AJ155" s="15" t="str">
        <f t="shared" si="75"/>
        <v/>
      </c>
      <c r="AK155" s="15">
        <f>IF(AJ155="",0,AVERAGE(AJ$10:AJ155))</f>
        <v>0</v>
      </c>
      <c r="AL155" s="15">
        <f>IF(AJ154="",0,VAR(AJ$10:AJ155))</f>
        <v>0</v>
      </c>
      <c r="AN155" s="2"/>
      <c r="AO155" s="15" t="str">
        <f t="shared" si="76"/>
        <v/>
      </c>
      <c r="AP155" s="15">
        <f>IF(AO155="",0,AVERAGE(AO$10:AO155))</f>
        <v>0</v>
      </c>
      <c r="AQ155" s="15">
        <f>IF(AO154="",0,VAR(AO$10:AO155))</f>
        <v>0</v>
      </c>
      <c r="AS155" s="2"/>
      <c r="AT155" s="15" t="str">
        <f t="shared" si="77"/>
        <v/>
      </c>
      <c r="AU155" s="15">
        <f>IF(AT155="",0,AVERAGE(AT$10:AT155))</f>
        <v>0</v>
      </c>
      <c r="AV155" s="15">
        <f>IF(AT154="",0,VAR(AT$10:AT155))</f>
        <v>0</v>
      </c>
      <c r="AX155" s="2"/>
      <c r="AY155" s="15" t="str">
        <f t="shared" si="78"/>
        <v/>
      </c>
      <c r="AZ155" s="15">
        <f>IF(AY155="",0,AVERAGE(AY$10:AY155))</f>
        <v>0</v>
      </c>
      <c r="BA155" s="15">
        <f>IF(AY154="",0,VAR(AY$10:AY155))</f>
        <v>0</v>
      </c>
    </row>
    <row r="156" spans="3:53" x14ac:dyDescent="0.25">
      <c r="C156" s="2"/>
      <c r="E156" s="2"/>
      <c r="F156" s="15"/>
      <c r="G156" s="15">
        <f>IF(F156="",0,AVERAGE($F$10:F156))</f>
        <v>0</v>
      </c>
      <c r="H156" s="15">
        <f>IF(F155="",0,VAR($F$10:F156))</f>
        <v>0</v>
      </c>
      <c r="J156" s="2"/>
      <c r="K156" s="15" t="str">
        <f t="shared" si="72"/>
        <v/>
      </c>
      <c r="L156" s="15">
        <f>IF(K156="",0,AVERAGE($K$10:K156))</f>
        <v>0</v>
      </c>
      <c r="M156" s="15">
        <f>IF(K155="",0,VAR($K$10:K156))</f>
        <v>0</v>
      </c>
      <c r="O156" s="2"/>
      <c r="P156" s="15" t="str">
        <f t="shared" si="73"/>
        <v/>
      </c>
      <c r="Q156" s="15">
        <f>IF(P156="",0,AVERAGE(P$10:P156))</f>
        <v>0</v>
      </c>
      <c r="R156" s="15">
        <f>IF(P155="",0,VAR(P$10:P156))</f>
        <v>0</v>
      </c>
      <c r="T156" s="2"/>
      <c r="U156" s="15" t="str">
        <f t="shared" si="80"/>
        <v/>
      </c>
      <c r="V156" s="15">
        <f>IF(U156="",0,AVERAGE(U$10:U156))</f>
        <v>0</v>
      </c>
      <c r="W156" s="15">
        <f>IF(U155="",0,VAR(U$10:U156))</f>
        <v>0</v>
      </c>
      <c r="Y156" s="2"/>
      <c r="Z156" s="15" t="str">
        <f t="shared" si="74"/>
        <v/>
      </c>
      <c r="AA156" s="15">
        <f>IF(Z156="",0,AVERAGE(Z$10:Z156))</f>
        <v>0</v>
      </c>
      <c r="AB156" s="15">
        <f>IF(Z155="",0,VAR(Z$10:Z156))</f>
        <v>0</v>
      </c>
      <c r="AD156" s="2"/>
      <c r="AE156" s="15" t="str">
        <f t="shared" si="81"/>
        <v/>
      </c>
      <c r="AF156" s="15">
        <f>IF(AE156="",0,AVERAGE(AE$10:AE156))</f>
        <v>0</v>
      </c>
      <c r="AG156" s="15">
        <f>IF(AE155="",0,VAR(AE$10:AE156))</f>
        <v>0</v>
      </c>
      <c r="AI156" s="2"/>
      <c r="AJ156" s="15" t="str">
        <f t="shared" si="75"/>
        <v/>
      </c>
      <c r="AK156" s="15">
        <f>IF(AJ156="",0,AVERAGE(AJ$10:AJ156))</f>
        <v>0</v>
      </c>
      <c r="AL156" s="15">
        <f>IF(AJ155="",0,VAR(AJ$10:AJ156))</f>
        <v>0</v>
      </c>
      <c r="AN156" s="2"/>
      <c r="AO156" s="15" t="str">
        <f t="shared" si="76"/>
        <v/>
      </c>
      <c r="AP156" s="15">
        <f>IF(AO156="",0,AVERAGE(AO$10:AO156))</f>
        <v>0</v>
      </c>
      <c r="AQ156" s="15">
        <f>IF(AO155="",0,VAR(AO$10:AO156))</f>
        <v>0</v>
      </c>
      <c r="AS156" s="2"/>
      <c r="AT156" s="15" t="str">
        <f t="shared" si="77"/>
        <v/>
      </c>
      <c r="AU156" s="15">
        <f>IF(AT156="",0,AVERAGE(AT$10:AT156))</f>
        <v>0</v>
      </c>
      <c r="AV156" s="15">
        <f>IF(AT155="",0,VAR(AT$10:AT156))</f>
        <v>0</v>
      </c>
      <c r="AX156" s="2"/>
      <c r="AY156" s="15" t="str">
        <f t="shared" si="78"/>
        <v/>
      </c>
      <c r="AZ156" s="15">
        <f>IF(AY156="",0,AVERAGE(AY$10:AY156))</f>
        <v>0</v>
      </c>
      <c r="BA156" s="15">
        <f>IF(AY155="",0,VAR(AY$10:AY156))</f>
        <v>0</v>
      </c>
    </row>
    <row r="157" spans="3:53" x14ac:dyDescent="0.25">
      <c r="C157" s="2"/>
      <c r="E157" s="2"/>
      <c r="F157" s="15" t="str">
        <f t="shared" ref="F157" si="86">IF(E157="","",+(E157-E156)/E156)</f>
        <v/>
      </c>
      <c r="G157" s="15">
        <f>IF(F157="",0,AVERAGE($F$10:F157))</f>
        <v>0</v>
      </c>
      <c r="H157" s="15">
        <f>IF(F156="",0,VAR($F$10:F157))</f>
        <v>0</v>
      </c>
      <c r="J157" s="2"/>
      <c r="K157" s="15" t="str">
        <f t="shared" si="72"/>
        <v/>
      </c>
      <c r="L157" s="15">
        <f>IF(K157="",0,AVERAGE($K$10:K157))</f>
        <v>0</v>
      </c>
      <c r="M157" s="15">
        <f>IF(K156="",0,VAR($K$10:K157))</f>
        <v>0</v>
      </c>
      <c r="O157" s="2"/>
      <c r="P157" s="15" t="str">
        <f t="shared" si="73"/>
        <v/>
      </c>
      <c r="Q157" s="15">
        <f>IF(P157="",0,AVERAGE(P$10:P157))</f>
        <v>0</v>
      </c>
      <c r="R157" s="15">
        <f>IF(P156="",0,VAR(P$10:P157))</f>
        <v>0</v>
      </c>
      <c r="T157" s="2"/>
      <c r="U157" s="15" t="str">
        <f t="shared" si="80"/>
        <v/>
      </c>
      <c r="V157" s="15">
        <f>IF(U157="",0,AVERAGE(U$10:U157))</f>
        <v>0</v>
      </c>
      <c r="W157" s="15">
        <f>IF(U156="",0,VAR(U$10:U157))</f>
        <v>0</v>
      </c>
      <c r="Y157" s="2"/>
      <c r="Z157" s="15" t="str">
        <f t="shared" si="74"/>
        <v/>
      </c>
      <c r="AA157" s="15">
        <f>IF(Z157="",0,AVERAGE(Z$10:Z157))</f>
        <v>0</v>
      </c>
      <c r="AB157" s="15">
        <f>IF(Z156="",0,VAR(Z$10:Z157))</f>
        <v>0</v>
      </c>
      <c r="AD157" s="2"/>
      <c r="AE157" s="15" t="str">
        <f t="shared" si="81"/>
        <v/>
      </c>
      <c r="AF157" s="15">
        <f>IF(AE157="",0,AVERAGE(AE$10:AE157))</f>
        <v>0</v>
      </c>
      <c r="AG157" s="15">
        <f>IF(AE156="",0,VAR(AE$10:AE157))</f>
        <v>0</v>
      </c>
      <c r="AI157" s="2"/>
      <c r="AJ157" s="15" t="str">
        <f t="shared" si="75"/>
        <v/>
      </c>
      <c r="AK157" s="15">
        <f>IF(AJ157="",0,AVERAGE(AJ$10:AJ157))</f>
        <v>0</v>
      </c>
      <c r="AL157" s="15">
        <f>IF(AJ156="",0,VAR(AJ$10:AJ157))</f>
        <v>0</v>
      </c>
      <c r="AN157" s="2"/>
      <c r="AO157" s="15" t="str">
        <f t="shared" si="76"/>
        <v/>
      </c>
      <c r="AP157" s="15">
        <f>IF(AO157="",0,AVERAGE(AO$10:AO157))</f>
        <v>0</v>
      </c>
      <c r="AQ157" s="15">
        <f>IF(AO156="",0,VAR(AO$10:AO157))</f>
        <v>0</v>
      </c>
      <c r="AS157" s="2"/>
      <c r="AT157" s="15" t="str">
        <f t="shared" si="77"/>
        <v/>
      </c>
      <c r="AU157" s="15">
        <f>IF(AT157="",0,AVERAGE(AT$10:AT157))</f>
        <v>0</v>
      </c>
      <c r="AV157" s="15">
        <f>IF(AT156="",0,VAR(AT$10:AT157))</f>
        <v>0</v>
      </c>
      <c r="AX157" s="2"/>
      <c r="AY157" s="15" t="str">
        <f t="shared" si="78"/>
        <v/>
      </c>
      <c r="AZ157" s="15">
        <f>IF(AY157="",0,AVERAGE(AY$10:AY157))</f>
        <v>0</v>
      </c>
      <c r="BA157" s="15">
        <f>IF(AY156="",0,VAR(AY$10:AY157))</f>
        <v>0</v>
      </c>
    </row>
    <row r="158" spans="3:53" x14ac:dyDescent="0.25">
      <c r="C158" s="2"/>
      <c r="E158" s="2"/>
      <c r="F158" s="15" t="str">
        <f t="shared" si="71"/>
        <v/>
      </c>
      <c r="G158" s="15">
        <f>IF(F158="",0,AVERAGE($F$10:F158))</f>
        <v>0</v>
      </c>
      <c r="H158" s="15">
        <f>IF(F157="",0,VAR($F$10:F158))</f>
        <v>0</v>
      </c>
      <c r="J158" s="2"/>
      <c r="K158" s="15" t="str">
        <f t="shared" si="72"/>
        <v/>
      </c>
      <c r="L158" s="15">
        <f>IF(K158="",0,AVERAGE($K$10:K158))</f>
        <v>0</v>
      </c>
      <c r="M158" s="15">
        <f>IF(K157="",0,VAR($K$10:K158))</f>
        <v>0</v>
      </c>
      <c r="O158" s="2"/>
      <c r="P158" s="15" t="str">
        <f t="shared" si="73"/>
        <v/>
      </c>
      <c r="Q158" s="15">
        <f>IF(P158="",0,AVERAGE(P$10:P158))</f>
        <v>0</v>
      </c>
      <c r="R158" s="15">
        <f>IF(P157="",0,VAR(P$10:P158))</f>
        <v>0</v>
      </c>
      <c r="T158" s="2"/>
      <c r="U158" s="15" t="str">
        <f t="shared" si="80"/>
        <v/>
      </c>
      <c r="V158" s="15">
        <f>IF(U158="",0,AVERAGE(U$10:U158))</f>
        <v>0</v>
      </c>
      <c r="W158" s="15">
        <f>IF(U157="",0,VAR(U$10:U158))</f>
        <v>0</v>
      </c>
      <c r="Y158" s="2"/>
      <c r="Z158" s="15" t="str">
        <f t="shared" si="74"/>
        <v/>
      </c>
      <c r="AA158" s="15">
        <f>IF(Z158="",0,AVERAGE(Z$10:Z158))</f>
        <v>0</v>
      </c>
      <c r="AB158" s="15">
        <f>IF(Z157="",0,VAR(Z$10:Z158))</f>
        <v>0</v>
      </c>
      <c r="AD158" s="2"/>
      <c r="AE158" s="15" t="str">
        <f t="shared" si="81"/>
        <v/>
      </c>
      <c r="AF158" s="15">
        <f>IF(AE158="",0,AVERAGE(AE$10:AE158))</f>
        <v>0</v>
      </c>
      <c r="AG158" s="15">
        <f>IF(AE157="",0,VAR(AE$10:AE158))</f>
        <v>0</v>
      </c>
      <c r="AI158" s="2"/>
      <c r="AJ158" s="15" t="str">
        <f t="shared" si="75"/>
        <v/>
      </c>
      <c r="AK158" s="15">
        <f>IF(AJ158="",0,AVERAGE(AJ$10:AJ158))</f>
        <v>0</v>
      </c>
      <c r="AL158" s="15">
        <f>IF(AJ157="",0,VAR(AJ$10:AJ158))</f>
        <v>0</v>
      </c>
      <c r="AN158" s="2"/>
      <c r="AO158" s="15" t="str">
        <f t="shared" si="76"/>
        <v/>
      </c>
      <c r="AP158" s="15">
        <f>IF(AO158="",0,AVERAGE(AO$10:AO158))</f>
        <v>0</v>
      </c>
      <c r="AQ158" s="15">
        <f>IF(AO157="",0,VAR(AO$10:AO158))</f>
        <v>0</v>
      </c>
      <c r="AS158" s="2"/>
      <c r="AT158" s="15" t="str">
        <f t="shared" si="77"/>
        <v/>
      </c>
      <c r="AU158" s="15">
        <f>IF(AT158="",0,AVERAGE(AT$10:AT158))</f>
        <v>0</v>
      </c>
      <c r="AV158" s="15">
        <f>IF(AT157="",0,VAR(AT$10:AT158))</f>
        <v>0</v>
      </c>
      <c r="AX158" s="2"/>
      <c r="AY158" s="15" t="str">
        <f t="shared" si="78"/>
        <v/>
      </c>
      <c r="AZ158" s="15">
        <f>IF(AY158="",0,AVERAGE(AY$10:AY158))</f>
        <v>0</v>
      </c>
      <c r="BA158" s="15">
        <f>IF(AY157="",0,VAR(AY$10:AY158))</f>
        <v>0</v>
      </c>
    </row>
    <row r="159" spans="3:53" x14ac:dyDescent="0.25">
      <c r="C159" s="2"/>
      <c r="E159" s="2"/>
      <c r="F159" s="15"/>
      <c r="G159" s="15">
        <f>IF(F159="",0,AVERAGE($F$10:F159))</f>
        <v>0</v>
      </c>
      <c r="H159" s="15">
        <f>IF(F158="",0,VAR($F$10:F159))</f>
        <v>0</v>
      </c>
      <c r="J159" s="2"/>
      <c r="K159" s="15" t="str">
        <f t="shared" si="72"/>
        <v/>
      </c>
      <c r="L159" s="15">
        <f>IF(K159="",0,AVERAGE($K$10:K159))</f>
        <v>0</v>
      </c>
      <c r="M159" s="15">
        <f>IF(K158="",0,VAR($K$10:K159))</f>
        <v>0</v>
      </c>
      <c r="O159" s="2"/>
      <c r="P159" s="15" t="str">
        <f t="shared" si="73"/>
        <v/>
      </c>
      <c r="Q159" s="15">
        <f>IF(P159="",0,AVERAGE(P$10:P159))</f>
        <v>0</v>
      </c>
      <c r="R159" s="15">
        <f>IF(P158="",0,VAR(P$10:P159))</f>
        <v>0</v>
      </c>
      <c r="T159" s="2"/>
      <c r="U159" s="15" t="str">
        <f t="shared" si="80"/>
        <v/>
      </c>
      <c r="V159" s="15">
        <f>IF(U159="",0,AVERAGE(U$10:U159))</f>
        <v>0</v>
      </c>
      <c r="W159" s="15">
        <f>IF(U158="",0,VAR(U$10:U159))</f>
        <v>0</v>
      </c>
      <c r="Y159" s="2"/>
      <c r="Z159" s="15" t="str">
        <f t="shared" si="74"/>
        <v/>
      </c>
      <c r="AA159" s="15">
        <f>IF(Z159="",0,AVERAGE(Z$10:Z159))</f>
        <v>0</v>
      </c>
      <c r="AB159" s="15">
        <f>IF(Z158="",0,VAR(Z$10:Z159))</f>
        <v>0</v>
      </c>
      <c r="AD159" s="2"/>
      <c r="AE159" s="15" t="str">
        <f t="shared" si="81"/>
        <v/>
      </c>
      <c r="AF159" s="15">
        <f>IF(AE159="",0,AVERAGE(AE$10:AE159))</f>
        <v>0</v>
      </c>
      <c r="AG159" s="15">
        <f>IF(AE158="",0,VAR(AE$10:AE159))</f>
        <v>0</v>
      </c>
      <c r="AI159" s="2"/>
      <c r="AJ159" s="15" t="str">
        <f t="shared" si="75"/>
        <v/>
      </c>
      <c r="AK159" s="15">
        <f>IF(AJ159="",0,AVERAGE(AJ$10:AJ159))</f>
        <v>0</v>
      </c>
      <c r="AL159" s="15">
        <f>IF(AJ158="",0,VAR(AJ$10:AJ159))</f>
        <v>0</v>
      </c>
      <c r="AN159" s="2"/>
      <c r="AO159" s="15" t="str">
        <f t="shared" si="76"/>
        <v/>
      </c>
      <c r="AP159" s="15">
        <f>IF(AO159="",0,AVERAGE(AO$10:AO159))</f>
        <v>0</v>
      </c>
      <c r="AQ159" s="15">
        <f>IF(AO158="",0,VAR(AO$10:AO159))</f>
        <v>0</v>
      </c>
      <c r="AS159" s="2"/>
      <c r="AT159" s="15" t="str">
        <f t="shared" si="77"/>
        <v/>
      </c>
      <c r="AU159" s="15">
        <f>IF(AT159="",0,AVERAGE(AT$10:AT159))</f>
        <v>0</v>
      </c>
      <c r="AV159" s="15">
        <f>IF(AT158="",0,VAR(AT$10:AT159))</f>
        <v>0</v>
      </c>
      <c r="AX159" s="2"/>
      <c r="AY159" s="15" t="str">
        <f t="shared" si="78"/>
        <v/>
      </c>
      <c r="AZ159" s="15">
        <f>IF(AY159="",0,AVERAGE(AY$10:AY159))</f>
        <v>0</v>
      </c>
      <c r="BA159" s="15">
        <f>IF(AY158="",0,VAR(AY$10:AY159))</f>
        <v>0</v>
      </c>
    </row>
    <row r="160" spans="3:53" x14ac:dyDescent="0.25">
      <c r="C160" s="2"/>
      <c r="E160" s="2"/>
      <c r="F160" s="15" t="str">
        <f t="shared" ref="F160" si="87">IF(E160="","",+(E160-E159)/E159)</f>
        <v/>
      </c>
      <c r="G160" s="15">
        <f>IF(F160="",0,AVERAGE($F$10:F160))</f>
        <v>0</v>
      </c>
      <c r="H160" s="15">
        <f>IF(F159="",0,VAR($F$10:F160))</f>
        <v>0</v>
      </c>
      <c r="J160" s="2"/>
      <c r="K160" s="15" t="str">
        <f t="shared" si="72"/>
        <v/>
      </c>
      <c r="L160" s="15">
        <f>IF(K160="",0,AVERAGE($K$10:K160))</f>
        <v>0</v>
      </c>
      <c r="M160" s="15">
        <f>IF(K159="",0,VAR($K$10:K160))</f>
        <v>0</v>
      </c>
      <c r="O160" s="2"/>
      <c r="P160" s="15" t="str">
        <f t="shared" si="73"/>
        <v/>
      </c>
      <c r="Q160" s="15">
        <f>IF(P160="",0,AVERAGE(P$10:P160))</f>
        <v>0</v>
      </c>
      <c r="R160" s="15">
        <f>IF(P159="",0,VAR(P$10:P160))</f>
        <v>0</v>
      </c>
      <c r="T160" s="2"/>
      <c r="U160" s="15" t="str">
        <f t="shared" si="80"/>
        <v/>
      </c>
      <c r="V160" s="15">
        <f>IF(U160="",0,AVERAGE(U$10:U160))</f>
        <v>0</v>
      </c>
      <c r="W160" s="15">
        <f>IF(U159="",0,VAR(U$10:U160))</f>
        <v>0</v>
      </c>
      <c r="Y160" s="2"/>
      <c r="Z160" s="15" t="str">
        <f t="shared" si="74"/>
        <v/>
      </c>
      <c r="AA160" s="15">
        <f>IF(Z160="",0,AVERAGE(Z$10:Z160))</f>
        <v>0</v>
      </c>
      <c r="AB160" s="15">
        <f>IF(Z159="",0,VAR(Z$10:Z160))</f>
        <v>0</v>
      </c>
      <c r="AD160" s="2"/>
      <c r="AE160" s="15" t="str">
        <f t="shared" si="81"/>
        <v/>
      </c>
      <c r="AF160" s="15">
        <f>IF(AE160="",0,AVERAGE(AE$10:AE160))</f>
        <v>0</v>
      </c>
      <c r="AG160" s="15">
        <f>IF(AE159="",0,VAR(AE$10:AE160))</f>
        <v>0</v>
      </c>
      <c r="AI160" s="2"/>
      <c r="AJ160" s="15" t="str">
        <f t="shared" si="75"/>
        <v/>
      </c>
      <c r="AK160" s="15">
        <f>IF(AJ160="",0,AVERAGE(AJ$10:AJ160))</f>
        <v>0</v>
      </c>
      <c r="AL160" s="15">
        <f>IF(AJ159="",0,VAR(AJ$10:AJ160))</f>
        <v>0</v>
      </c>
      <c r="AN160" s="2"/>
      <c r="AO160" s="15" t="str">
        <f t="shared" si="76"/>
        <v/>
      </c>
      <c r="AP160" s="15">
        <f>IF(AO160="",0,AVERAGE(AO$10:AO160))</f>
        <v>0</v>
      </c>
      <c r="AQ160" s="15">
        <f>IF(AO159="",0,VAR(AO$10:AO160))</f>
        <v>0</v>
      </c>
      <c r="AS160" s="2"/>
      <c r="AT160" s="15" t="str">
        <f t="shared" si="77"/>
        <v/>
      </c>
      <c r="AU160" s="15">
        <f>IF(AT160="",0,AVERAGE(AT$10:AT160))</f>
        <v>0</v>
      </c>
      <c r="AV160" s="15">
        <f>IF(AT159="",0,VAR(AT$10:AT160))</f>
        <v>0</v>
      </c>
      <c r="AX160" s="2"/>
      <c r="AY160" s="15" t="str">
        <f t="shared" si="78"/>
        <v/>
      </c>
      <c r="AZ160" s="15">
        <f>IF(AY160="",0,AVERAGE(AY$10:AY160))</f>
        <v>0</v>
      </c>
      <c r="BA160" s="15">
        <f>IF(AY159="",0,VAR(AY$10:AY160))</f>
        <v>0</v>
      </c>
    </row>
    <row r="161" spans="3:53" x14ac:dyDescent="0.25">
      <c r="C161" s="2"/>
      <c r="E161" s="2"/>
      <c r="F161" s="15" t="str">
        <f t="shared" si="71"/>
        <v/>
      </c>
      <c r="G161" s="15">
        <f>IF(F161="",0,AVERAGE($F$10:F161))</f>
        <v>0</v>
      </c>
      <c r="H161" s="15">
        <f>IF(F160="",0,VAR($F$10:F161))</f>
        <v>0</v>
      </c>
      <c r="J161" s="2"/>
      <c r="K161" s="15" t="str">
        <f t="shared" si="72"/>
        <v/>
      </c>
      <c r="L161" s="15">
        <f>IF(K161="",0,AVERAGE($K$10:K161))</f>
        <v>0</v>
      </c>
      <c r="M161" s="15">
        <f>IF(K160="",0,VAR($K$10:K161))</f>
        <v>0</v>
      </c>
      <c r="O161" s="2"/>
      <c r="P161" s="15" t="str">
        <f t="shared" si="73"/>
        <v/>
      </c>
      <c r="Q161" s="15">
        <f>IF(P161="",0,AVERAGE(P$10:P161))</f>
        <v>0</v>
      </c>
      <c r="R161" s="15">
        <f>IF(P160="",0,VAR(P$10:P161))</f>
        <v>0</v>
      </c>
      <c r="T161" s="2"/>
      <c r="U161" s="15" t="str">
        <f t="shared" si="80"/>
        <v/>
      </c>
      <c r="V161" s="15">
        <f>IF(U161="",0,AVERAGE(U$10:U161))</f>
        <v>0</v>
      </c>
      <c r="W161" s="15">
        <f>IF(U160="",0,VAR(U$10:U161))</f>
        <v>0</v>
      </c>
      <c r="Y161" s="2"/>
      <c r="Z161" s="15" t="str">
        <f t="shared" si="74"/>
        <v/>
      </c>
      <c r="AA161" s="15">
        <f>IF(Z161="",0,AVERAGE(Z$10:Z161))</f>
        <v>0</v>
      </c>
      <c r="AB161" s="15">
        <f>IF(Z160="",0,VAR(Z$10:Z161))</f>
        <v>0</v>
      </c>
      <c r="AD161" s="2"/>
      <c r="AE161" s="15" t="str">
        <f t="shared" si="81"/>
        <v/>
      </c>
      <c r="AF161" s="15">
        <f>IF(AE161="",0,AVERAGE(AE$10:AE161))</f>
        <v>0</v>
      </c>
      <c r="AG161" s="15">
        <f>IF(AE160="",0,VAR(AE$10:AE161))</f>
        <v>0</v>
      </c>
      <c r="AI161" s="2"/>
      <c r="AJ161" s="15" t="str">
        <f t="shared" si="75"/>
        <v/>
      </c>
      <c r="AK161" s="15">
        <f>IF(AJ161="",0,AVERAGE(AJ$10:AJ161))</f>
        <v>0</v>
      </c>
      <c r="AL161" s="15">
        <f>IF(AJ160="",0,VAR(AJ$10:AJ161))</f>
        <v>0</v>
      </c>
      <c r="AN161" s="2"/>
      <c r="AO161" s="15" t="str">
        <f t="shared" si="76"/>
        <v/>
      </c>
      <c r="AP161" s="15">
        <f>IF(AO161="",0,AVERAGE(AO$10:AO161))</f>
        <v>0</v>
      </c>
      <c r="AQ161" s="15">
        <f>IF(AO160="",0,VAR(AO$10:AO161))</f>
        <v>0</v>
      </c>
      <c r="AS161" s="2"/>
      <c r="AT161" s="15" t="str">
        <f t="shared" si="77"/>
        <v/>
      </c>
      <c r="AU161" s="15">
        <f>IF(AT161="",0,AVERAGE(AT$10:AT161))</f>
        <v>0</v>
      </c>
      <c r="AV161" s="15">
        <f>IF(AT160="",0,VAR(AT$10:AT161))</f>
        <v>0</v>
      </c>
      <c r="AX161" s="2"/>
      <c r="AY161" s="15" t="str">
        <f t="shared" si="78"/>
        <v/>
      </c>
      <c r="AZ161" s="15">
        <f>IF(AY161="",0,AVERAGE(AY$10:AY161))</f>
        <v>0</v>
      </c>
      <c r="BA161" s="15">
        <f>IF(AY160="",0,VAR(AY$10:AY161))</f>
        <v>0</v>
      </c>
    </row>
    <row r="162" spans="3:53" x14ac:dyDescent="0.25">
      <c r="C162" s="2"/>
      <c r="E162" s="2"/>
      <c r="F162" s="15"/>
      <c r="G162" s="15">
        <f>IF(F162="",0,AVERAGE($F$10:F162))</f>
        <v>0</v>
      </c>
      <c r="H162" s="15">
        <f>IF(F161="",0,VAR($F$10:F162))</f>
        <v>0</v>
      </c>
      <c r="J162" s="2"/>
      <c r="K162" s="15" t="str">
        <f t="shared" si="72"/>
        <v/>
      </c>
      <c r="L162" s="15">
        <f>IF(K162="",0,AVERAGE($K$10:K162))</f>
        <v>0</v>
      </c>
      <c r="M162" s="15">
        <f>IF(K161="",0,VAR($K$10:K162))</f>
        <v>0</v>
      </c>
      <c r="O162" s="2"/>
      <c r="P162" s="15" t="str">
        <f t="shared" si="73"/>
        <v/>
      </c>
      <c r="Q162" s="15">
        <f>IF(P162="",0,AVERAGE(P$10:P162))</f>
        <v>0</v>
      </c>
      <c r="R162" s="15">
        <f>IF(P161="",0,VAR(P$10:P162))</f>
        <v>0</v>
      </c>
      <c r="T162" s="2"/>
      <c r="U162" s="15" t="str">
        <f t="shared" si="80"/>
        <v/>
      </c>
      <c r="V162" s="15">
        <f>IF(U162="",0,AVERAGE(U$10:U162))</f>
        <v>0</v>
      </c>
      <c r="W162" s="15">
        <f>IF(U161="",0,VAR(U$10:U162))</f>
        <v>0</v>
      </c>
      <c r="Y162" s="2"/>
      <c r="Z162" s="15" t="str">
        <f t="shared" si="74"/>
        <v/>
      </c>
      <c r="AA162" s="15">
        <f>IF(Z162="",0,AVERAGE(Z$10:Z162))</f>
        <v>0</v>
      </c>
      <c r="AB162" s="15">
        <f>IF(Z161="",0,VAR(Z$10:Z162))</f>
        <v>0</v>
      </c>
      <c r="AD162" s="2"/>
      <c r="AE162" s="15" t="str">
        <f t="shared" si="81"/>
        <v/>
      </c>
      <c r="AF162" s="15">
        <f>IF(AE162="",0,AVERAGE(AE$10:AE162))</f>
        <v>0</v>
      </c>
      <c r="AG162" s="15">
        <f>IF(AE161="",0,VAR(AE$10:AE162))</f>
        <v>0</v>
      </c>
      <c r="AI162" s="2"/>
      <c r="AJ162" s="15" t="str">
        <f t="shared" si="75"/>
        <v/>
      </c>
      <c r="AK162" s="15">
        <f>IF(AJ162="",0,AVERAGE(AJ$10:AJ162))</f>
        <v>0</v>
      </c>
      <c r="AL162" s="15">
        <f>IF(AJ161="",0,VAR(AJ$10:AJ162))</f>
        <v>0</v>
      </c>
      <c r="AN162" s="2"/>
      <c r="AO162" s="15" t="str">
        <f t="shared" si="76"/>
        <v/>
      </c>
      <c r="AP162" s="15">
        <f>IF(AO162="",0,AVERAGE(AO$10:AO162))</f>
        <v>0</v>
      </c>
      <c r="AQ162" s="15">
        <f>IF(AO161="",0,VAR(AO$10:AO162))</f>
        <v>0</v>
      </c>
      <c r="AS162" s="2"/>
      <c r="AT162" s="15" t="str">
        <f t="shared" si="77"/>
        <v/>
      </c>
      <c r="AU162" s="15">
        <f>IF(AT162="",0,AVERAGE(AT$10:AT162))</f>
        <v>0</v>
      </c>
      <c r="AV162" s="15">
        <f>IF(AT161="",0,VAR(AT$10:AT162))</f>
        <v>0</v>
      </c>
      <c r="AX162" s="2"/>
      <c r="AY162" s="15" t="str">
        <f t="shared" si="78"/>
        <v/>
      </c>
      <c r="AZ162" s="15">
        <f>IF(AY162="",0,AVERAGE(AY$10:AY162))</f>
        <v>0</v>
      </c>
      <c r="BA162" s="15">
        <f>IF(AY161="",0,VAR(AY$10:AY162))</f>
        <v>0</v>
      </c>
    </row>
    <row r="163" spans="3:53" x14ac:dyDescent="0.25">
      <c r="C163" s="2"/>
      <c r="E163" s="2"/>
      <c r="F163" s="15" t="str">
        <f t="shared" ref="F163" si="88">IF(E163="","",+(E163-E162)/E162)</f>
        <v/>
      </c>
      <c r="G163" s="15">
        <f>IF(F163="",0,AVERAGE($F$10:F163))</f>
        <v>0</v>
      </c>
      <c r="H163" s="15">
        <f>IF(F162="",0,VAR($F$10:F163))</f>
        <v>0</v>
      </c>
      <c r="J163" s="2"/>
      <c r="K163" s="15" t="str">
        <f t="shared" si="72"/>
        <v/>
      </c>
      <c r="L163" s="15">
        <f>IF(K163="",0,AVERAGE($K$10:K163))</f>
        <v>0</v>
      </c>
      <c r="M163" s="15">
        <f>IF(K162="",0,VAR($K$10:K163))</f>
        <v>0</v>
      </c>
      <c r="O163" s="2"/>
      <c r="P163" s="15" t="str">
        <f t="shared" si="73"/>
        <v/>
      </c>
      <c r="Q163" s="15">
        <f>IF(P163="",0,AVERAGE(P$10:P163))</f>
        <v>0</v>
      </c>
      <c r="R163" s="15">
        <f>IF(P162="",0,VAR(P$10:P163))</f>
        <v>0</v>
      </c>
      <c r="T163" s="2"/>
      <c r="U163" s="15" t="str">
        <f t="shared" si="80"/>
        <v/>
      </c>
      <c r="V163" s="15">
        <f>IF(U163="",0,AVERAGE(U$10:U163))</f>
        <v>0</v>
      </c>
      <c r="W163" s="15">
        <f>IF(U162="",0,VAR(U$10:U163))</f>
        <v>0</v>
      </c>
      <c r="Y163" s="2"/>
      <c r="Z163" s="15" t="str">
        <f t="shared" si="74"/>
        <v/>
      </c>
      <c r="AA163" s="15">
        <f>IF(Z163="",0,AVERAGE(Z$10:Z163))</f>
        <v>0</v>
      </c>
      <c r="AB163" s="15">
        <f>IF(Z162="",0,VAR(Z$10:Z163))</f>
        <v>0</v>
      </c>
      <c r="AD163" s="2"/>
      <c r="AE163" s="15" t="str">
        <f t="shared" si="81"/>
        <v/>
      </c>
      <c r="AF163" s="15">
        <f>IF(AE163="",0,AVERAGE(AE$10:AE163))</f>
        <v>0</v>
      </c>
      <c r="AG163" s="15">
        <f>IF(AE162="",0,VAR(AE$10:AE163))</f>
        <v>0</v>
      </c>
      <c r="AI163" s="2"/>
      <c r="AJ163" s="15" t="str">
        <f t="shared" si="75"/>
        <v/>
      </c>
      <c r="AK163" s="15">
        <f>IF(AJ163="",0,AVERAGE(AJ$10:AJ163))</f>
        <v>0</v>
      </c>
      <c r="AL163" s="15">
        <f>IF(AJ162="",0,VAR(AJ$10:AJ163))</f>
        <v>0</v>
      </c>
      <c r="AN163" s="2"/>
      <c r="AO163" s="15" t="str">
        <f t="shared" si="76"/>
        <v/>
      </c>
      <c r="AP163" s="15">
        <f>IF(AO163="",0,AVERAGE(AO$10:AO163))</f>
        <v>0</v>
      </c>
      <c r="AQ163" s="15">
        <f>IF(AO162="",0,VAR(AO$10:AO163))</f>
        <v>0</v>
      </c>
      <c r="AS163" s="2"/>
      <c r="AT163" s="15" t="str">
        <f t="shared" si="77"/>
        <v/>
      </c>
      <c r="AU163" s="15">
        <f>IF(AT163="",0,AVERAGE(AT$10:AT163))</f>
        <v>0</v>
      </c>
      <c r="AV163" s="15">
        <f>IF(AT162="",0,VAR(AT$10:AT163))</f>
        <v>0</v>
      </c>
      <c r="AX163" s="2"/>
      <c r="AY163" s="15" t="str">
        <f t="shared" si="78"/>
        <v/>
      </c>
      <c r="AZ163" s="15">
        <f>IF(AY163="",0,AVERAGE(AY$10:AY163))</f>
        <v>0</v>
      </c>
      <c r="BA163" s="15">
        <f>IF(AY162="",0,VAR(AY$10:AY163))</f>
        <v>0</v>
      </c>
    </row>
    <row r="164" spans="3:53" x14ac:dyDescent="0.25">
      <c r="C164" s="2"/>
      <c r="E164" s="2"/>
      <c r="F164" s="15" t="str">
        <f t="shared" si="71"/>
        <v/>
      </c>
      <c r="G164" s="15">
        <f>IF(F164="",0,AVERAGE($F$10:F164))</f>
        <v>0</v>
      </c>
      <c r="H164" s="15">
        <f>IF(F163="",0,VAR($F$10:F164))</f>
        <v>0</v>
      </c>
      <c r="J164" s="2"/>
      <c r="K164" s="15" t="str">
        <f t="shared" si="72"/>
        <v/>
      </c>
      <c r="L164" s="15">
        <f>IF(K164="",0,AVERAGE($K$10:K164))</f>
        <v>0</v>
      </c>
      <c r="M164" s="15">
        <f>IF(K163="",0,VAR($K$10:K164))</f>
        <v>0</v>
      </c>
      <c r="O164" s="2"/>
      <c r="P164" s="15" t="str">
        <f t="shared" si="73"/>
        <v/>
      </c>
      <c r="Q164" s="15">
        <f>IF(P164="",0,AVERAGE(P$10:P164))</f>
        <v>0</v>
      </c>
      <c r="R164" s="15">
        <f>IF(P163="",0,VAR(P$10:P164))</f>
        <v>0</v>
      </c>
      <c r="T164" s="2"/>
      <c r="U164" s="15" t="str">
        <f t="shared" si="80"/>
        <v/>
      </c>
      <c r="V164" s="15">
        <f>IF(U164="",0,AVERAGE(U$10:U164))</f>
        <v>0</v>
      </c>
      <c r="W164" s="15">
        <f>IF(U163="",0,VAR(U$10:U164))</f>
        <v>0</v>
      </c>
      <c r="Y164" s="2"/>
      <c r="Z164" s="15" t="str">
        <f t="shared" si="74"/>
        <v/>
      </c>
      <c r="AA164" s="15">
        <f>IF(Z164="",0,AVERAGE(Z$10:Z164))</f>
        <v>0</v>
      </c>
      <c r="AB164" s="15">
        <f>IF(Z163="",0,VAR(Z$10:Z164))</f>
        <v>0</v>
      </c>
      <c r="AD164" s="2"/>
      <c r="AE164" s="15" t="str">
        <f t="shared" si="81"/>
        <v/>
      </c>
      <c r="AF164" s="15">
        <f>IF(AE164="",0,AVERAGE(AE$10:AE164))</f>
        <v>0</v>
      </c>
      <c r="AG164" s="15">
        <f>IF(AE163="",0,VAR(AE$10:AE164))</f>
        <v>0</v>
      </c>
      <c r="AI164" s="2"/>
      <c r="AJ164" s="15" t="str">
        <f t="shared" si="75"/>
        <v/>
      </c>
      <c r="AK164" s="15">
        <f>IF(AJ164="",0,AVERAGE(AJ$10:AJ164))</f>
        <v>0</v>
      </c>
      <c r="AL164" s="15">
        <f>IF(AJ163="",0,VAR(AJ$10:AJ164))</f>
        <v>0</v>
      </c>
      <c r="AN164" s="2"/>
      <c r="AO164" s="15" t="str">
        <f t="shared" si="76"/>
        <v/>
      </c>
      <c r="AP164" s="15">
        <f>IF(AO164="",0,AVERAGE(AO$10:AO164))</f>
        <v>0</v>
      </c>
      <c r="AQ164" s="15">
        <f>IF(AO163="",0,VAR(AO$10:AO164))</f>
        <v>0</v>
      </c>
      <c r="AS164" s="2"/>
      <c r="AT164" s="15" t="str">
        <f t="shared" si="77"/>
        <v/>
      </c>
      <c r="AU164" s="15">
        <f>IF(AT164="",0,AVERAGE(AT$10:AT164))</f>
        <v>0</v>
      </c>
      <c r="AV164" s="15">
        <f>IF(AT163="",0,VAR(AT$10:AT164))</f>
        <v>0</v>
      </c>
      <c r="AX164" s="2"/>
      <c r="AY164" s="15" t="str">
        <f t="shared" si="78"/>
        <v/>
      </c>
      <c r="AZ164" s="15">
        <f>IF(AY164="",0,AVERAGE(AY$10:AY164))</f>
        <v>0</v>
      </c>
      <c r="BA164" s="15">
        <f>IF(AY163="",0,VAR(AY$10:AY164))</f>
        <v>0</v>
      </c>
    </row>
    <row r="165" spans="3:53" x14ac:dyDescent="0.25">
      <c r="C165" s="2"/>
      <c r="E165" s="2"/>
      <c r="F165" s="15"/>
      <c r="G165" s="15">
        <f>IF(F165="",0,AVERAGE($F$10:F165))</f>
        <v>0</v>
      </c>
      <c r="H165" s="15">
        <f>IF(F164="",0,VAR($F$10:F165))</f>
        <v>0</v>
      </c>
      <c r="J165" s="2"/>
      <c r="K165" s="15" t="str">
        <f t="shared" si="72"/>
        <v/>
      </c>
      <c r="L165" s="15">
        <f>IF(K165="",0,AVERAGE($K$10:K165))</f>
        <v>0</v>
      </c>
      <c r="M165" s="15">
        <f>IF(K164="",0,VAR($K$10:K165))</f>
        <v>0</v>
      </c>
      <c r="O165" s="2"/>
      <c r="P165" s="15" t="str">
        <f t="shared" si="73"/>
        <v/>
      </c>
      <c r="Q165" s="15">
        <f>IF(P165="",0,AVERAGE(P$10:P165))</f>
        <v>0</v>
      </c>
      <c r="R165" s="15">
        <f>IF(P164="",0,VAR(P$10:P165))</f>
        <v>0</v>
      </c>
      <c r="T165" s="2"/>
      <c r="U165" s="15" t="str">
        <f t="shared" si="80"/>
        <v/>
      </c>
      <c r="V165" s="15">
        <f>IF(U165="",0,AVERAGE(U$10:U165))</f>
        <v>0</v>
      </c>
      <c r="W165" s="15">
        <f>IF(U164="",0,VAR(U$10:U165))</f>
        <v>0</v>
      </c>
      <c r="Y165" s="2"/>
      <c r="Z165" s="15" t="str">
        <f t="shared" si="74"/>
        <v/>
      </c>
      <c r="AA165" s="15">
        <f>IF(Z165="",0,AVERAGE(Z$10:Z165))</f>
        <v>0</v>
      </c>
      <c r="AB165" s="15">
        <f>IF(Z164="",0,VAR(Z$10:Z165))</f>
        <v>0</v>
      </c>
      <c r="AD165" s="2"/>
      <c r="AE165" s="15" t="str">
        <f t="shared" si="81"/>
        <v/>
      </c>
      <c r="AF165" s="15">
        <f>IF(AE165="",0,AVERAGE(AE$10:AE165))</f>
        <v>0</v>
      </c>
      <c r="AG165" s="15">
        <f>IF(AE164="",0,VAR(AE$10:AE165))</f>
        <v>0</v>
      </c>
      <c r="AI165" s="2"/>
      <c r="AJ165" s="15" t="str">
        <f t="shared" si="75"/>
        <v/>
      </c>
      <c r="AK165" s="15">
        <f>IF(AJ165="",0,AVERAGE(AJ$10:AJ165))</f>
        <v>0</v>
      </c>
      <c r="AL165" s="15">
        <f>IF(AJ164="",0,VAR(AJ$10:AJ165))</f>
        <v>0</v>
      </c>
      <c r="AN165" s="2"/>
      <c r="AO165" s="15" t="str">
        <f t="shared" si="76"/>
        <v/>
      </c>
      <c r="AP165" s="15">
        <f>IF(AO165="",0,AVERAGE(AO$10:AO165))</f>
        <v>0</v>
      </c>
      <c r="AQ165" s="15">
        <f>IF(AO164="",0,VAR(AO$10:AO165))</f>
        <v>0</v>
      </c>
      <c r="AS165" s="2"/>
      <c r="AT165" s="15" t="str">
        <f t="shared" si="77"/>
        <v/>
      </c>
      <c r="AU165" s="15">
        <f>IF(AT165="",0,AVERAGE(AT$10:AT165))</f>
        <v>0</v>
      </c>
      <c r="AV165" s="15">
        <f>IF(AT164="",0,VAR(AT$10:AT165))</f>
        <v>0</v>
      </c>
      <c r="AX165" s="2"/>
      <c r="AY165" s="15" t="str">
        <f t="shared" si="78"/>
        <v/>
      </c>
      <c r="AZ165" s="15">
        <f>IF(AY165="",0,AVERAGE(AY$10:AY165))</f>
        <v>0</v>
      </c>
      <c r="BA165" s="15">
        <f>IF(AY164="",0,VAR(AY$10:AY165))</f>
        <v>0</v>
      </c>
    </row>
    <row r="166" spans="3:53" x14ac:dyDescent="0.25">
      <c r="C166" s="2"/>
      <c r="E166" s="2"/>
      <c r="F166" s="15" t="str">
        <f t="shared" ref="F166" si="89">IF(E166="","",+(E166-E165)/E165)</f>
        <v/>
      </c>
      <c r="G166" s="15">
        <f>IF(F166="",0,AVERAGE($F$10:F166))</f>
        <v>0</v>
      </c>
      <c r="H166" s="15">
        <f>IF(F165="",0,VAR($F$10:F166))</f>
        <v>0</v>
      </c>
      <c r="J166" s="2"/>
      <c r="K166" s="15" t="str">
        <f t="shared" si="72"/>
        <v/>
      </c>
      <c r="L166" s="15">
        <f>IF(K166="",0,AVERAGE($K$10:K166))</f>
        <v>0</v>
      </c>
      <c r="M166" s="15">
        <f>IF(K165="",0,VAR($K$10:K166))</f>
        <v>0</v>
      </c>
      <c r="O166" s="2"/>
      <c r="P166" s="15" t="str">
        <f t="shared" si="73"/>
        <v/>
      </c>
      <c r="Q166" s="15">
        <f>IF(P166="",0,AVERAGE(P$10:P166))</f>
        <v>0</v>
      </c>
      <c r="R166" s="15">
        <f>IF(P165="",0,VAR(P$10:P166))</f>
        <v>0</v>
      </c>
      <c r="T166" s="2"/>
      <c r="U166" s="15" t="str">
        <f t="shared" si="80"/>
        <v/>
      </c>
      <c r="V166" s="15">
        <f>IF(U166="",0,AVERAGE(U$10:U166))</f>
        <v>0</v>
      </c>
      <c r="W166" s="15">
        <f>IF(U165="",0,VAR(U$10:U166))</f>
        <v>0</v>
      </c>
      <c r="Y166" s="2"/>
      <c r="Z166" s="15" t="str">
        <f t="shared" si="74"/>
        <v/>
      </c>
      <c r="AA166" s="15">
        <f>IF(Z166="",0,AVERAGE(Z$10:Z166))</f>
        <v>0</v>
      </c>
      <c r="AB166" s="15">
        <f>IF(Z165="",0,VAR(Z$10:Z166))</f>
        <v>0</v>
      </c>
      <c r="AD166" s="2"/>
      <c r="AE166" s="15" t="str">
        <f t="shared" si="81"/>
        <v/>
      </c>
      <c r="AF166" s="15">
        <f>IF(AE166="",0,AVERAGE(AE$10:AE166))</f>
        <v>0</v>
      </c>
      <c r="AG166" s="15">
        <f>IF(AE165="",0,VAR(AE$10:AE166))</f>
        <v>0</v>
      </c>
      <c r="AI166" s="2"/>
      <c r="AJ166" s="15" t="str">
        <f t="shared" si="75"/>
        <v/>
      </c>
      <c r="AK166" s="15">
        <f>IF(AJ166="",0,AVERAGE(AJ$10:AJ166))</f>
        <v>0</v>
      </c>
      <c r="AL166" s="15">
        <f>IF(AJ165="",0,VAR(AJ$10:AJ166))</f>
        <v>0</v>
      </c>
      <c r="AN166" s="2"/>
      <c r="AO166" s="15" t="str">
        <f t="shared" si="76"/>
        <v/>
      </c>
      <c r="AP166" s="15">
        <f>IF(AO166="",0,AVERAGE(AO$10:AO166))</f>
        <v>0</v>
      </c>
      <c r="AQ166" s="15">
        <f>IF(AO165="",0,VAR(AO$10:AO166))</f>
        <v>0</v>
      </c>
      <c r="AS166" s="2"/>
      <c r="AT166" s="15" t="str">
        <f t="shared" si="77"/>
        <v/>
      </c>
      <c r="AU166" s="15">
        <f>IF(AT166="",0,AVERAGE(AT$10:AT166))</f>
        <v>0</v>
      </c>
      <c r="AV166" s="15">
        <f>IF(AT165="",0,VAR(AT$10:AT166))</f>
        <v>0</v>
      </c>
      <c r="AX166" s="2"/>
      <c r="AY166" s="15" t="str">
        <f t="shared" si="78"/>
        <v/>
      </c>
      <c r="AZ166" s="15">
        <f>IF(AY166="",0,AVERAGE(AY$10:AY166))</f>
        <v>0</v>
      </c>
      <c r="BA166" s="15">
        <f>IF(AY165="",0,VAR(AY$10:AY166))</f>
        <v>0</v>
      </c>
    </row>
    <row r="167" spans="3:53" x14ac:dyDescent="0.25">
      <c r="C167" s="2"/>
      <c r="E167" s="2"/>
      <c r="F167" s="15" t="str">
        <f t="shared" si="71"/>
        <v/>
      </c>
      <c r="G167" s="15">
        <f>IF(F167="",0,AVERAGE($F$10:F167))</f>
        <v>0</v>
      </c>
      <c r="H167" s="15">
        <f>IF(F166="",0,VAR($F$10:F167))</f>
        <v>0</v>
      </c>
      <c r="J167" s="2"/>
      <c r="K167" s="15" t="str">
        <f t="shared" si="72"/>
        <v/>
      </c>
      <c r="L167" s="15">
        <f>IF(K167="",0,AVERAGE($K$10:K167))</f>
        <v>0</v>
      </c>
      <c r="M167" s="15">
        <f>IF(K166="",0,VAR($K$10:K167))</f>
        <v>0</v>
      </c>
      <c r="O167" s="2"/>
      <c r="P167" s="15" t="str">
        <f t="shared" si="73"/>
        <v/>
      </c>
      <c r="Q167" s="15">
        <f>IF(P167="",0,AVERAGE(P$10:P167))</f>
        <v>0</v>
      </c>
      <c r="R167" s="15">
        <f>IF(P166="",0,VAR(P$10:P167))</f>
        <v>0</v>
      </c>
      <c r="T167" s="2"/>
      <c r="U167" s="15" t="str">
        <f t="shared" si="80"/>
        <v/>
      </c>
      <c r="V167" s="15">
        <f>IF(U167="",0,AVERAGE(U$10:U167))</f>
        <v>0</v>
      </c>
      <c r="W167" s="15">
        <f>IF(U166="",0,VAR(U$10:U167))</f>
        <v>0</v>
      </c>
      <c r="Y167" s="2"/>
      <c r="Z167" s="15" t="str">
        <f t="shared" si="74"/>
        <v/>
      </c>
      <c r="AA167" s="15">
        <f>IF(Z167="",0,AVERAGE(Z$10:Z167))</f>
        <v>0</v>
      </c>
      <c r="AB167" s="15">
        <f>IF(Z166="",0,VAR(Z$10:Z167))</f>
        <v>0</v>
      </c>
      <c r="AD167" s="2"/>
      <c r="AE167" s="15" t="str">
        <f t="shared" si="81"/>
        <v/>
      </c>
      <c r="AF167" s="15">
        <f>IF(AE167="",0,AVERAGE(AE$10:AE167))</f>
        <v>0</v>
      </c>
      <c r="AG167" s="15">
        <f>IF(AE166="",0,VAR(AE$10:AE167))</f>
        <v>0</v>
      </c>
      <c r="AI167" s="2"/>
      <c r="AJ167" s="15" t="str">
        <f t="shared" si="75"/>
        <v/>
      </c>
      <c r="AK167" s="15">
        <f>IF(AJ167="",0,AVERAGE(AJ$10:AJ167))</f>
        <v>0</v>
      </c>
      <c r="AL167" s="15">
        <f>IF(AJ166="",0,VAR(AJ$10:AJ167))</f>
        <v>0</v>
      </c>
      <c r="AN167" s="2"/>
      <c r="AO167" s="15" t="str">
        <f t="shared" si="76"/>
        <v/>
      </c>
      <c r="AP167" s="15">
        <f>IF(AO167="",0,AVERAGE(AO$10:AO167))</f>
        <v>0</v>
      </c>
      <c r="AQ167" s="15">
        <f>IF(AO166="",0,VAR(AO$10:AO167))</f>
        <v>0</v>
      </c>
      <c r="AS167" s="2"/>
      <c r="AT167" s="15" t="str">
        <f t="shared" si="77"/>
        <v/>
      </c>
      <c r="AU167" s="15">
        <f>IF(AT167="",0,AVERAGE(AT$10:AT167))</f>
        <v>0</v>
      </c>
      <c r="AV167" s="15">
        <f>IF(AT166="",0,VAR(AT$10:AT167))</f>
        <v>0</v>
      </c>
      <c r="AX167" s="2"/>
      <c r="AY167" s="15" t="str">
        <f t="shared" si="78"/>
        <v/>
      </c>
      <c r="AZ167" s="15">
        <f>IF(AY167="",0,AVERAGE(AY$10:AY167))</f>
        <v>0</v>
      </c>
      <c r="BA167" s="15">
        <f>IF(AY166="",0,VAR(AY$10:AY167))</f>
        <v>0</v>
      </c>
    </row>
    <row r="168" spans="3:53" x14ac:dyDescent="0.25">
      <c r="C168" s="2"/>
      <c r="E168" s="2"/>
      <c r="F168" s="15"/>
      <c r="G168" s="15">
        <f>IF(F168="",0,AVERAGE($F$10:F168))</f>
        <v>0</v>
      </c>
      <c r="H168" s="15">
        <f>IF(F167="",0,VAR($F$10:F168))</f>
        <v>0</v>
      </c>
      <c r="J168" s="2"/>
      <c r="K168" s="15" t="str">
        <f t="shared" si="72"/>
        <v/>
      </c>
      <c r="L168" s="15">
        <f>IF(K168="",0,AVERAGE($K$10:K168))</f>
        <v>0</v>
      </c>
      <c r="M168" s="15">
        <f>IF(K167="",0,VAR($K$10:K168))</f>
        <v>0</v>
      </c>
      <c r="O168" s="2"/>
      <c r="P168" s="15" t="str">
        <f t="shared" si="73"/>
        <v/>
      </c>
      <c r="Q168" s="15">
        <f>IF(P168="",0,AVERAGE(P$10:P168))</f>
        <v>0</v>
      </c>
      <c r="R168" s="15">
        <f>IF(P167="",0,VAR(P$10:P168))</f>
        <v>0</v>
      </c>
      <c r="T168" s="2"/>
      <c r="U168" s="15" t="str">
        <f t="shared" si="80"/>
        <v/>
      </c>
      <c r="V168" s="15">
        <f>IF(U168="",0,AVERAGE(U$10:U168))</f>
        <v>0</v>
      </c>
      <c r="W168" s="15">
        <f>IF(U167="",0,VAR(U$10:U168))</f>
        <v>0</v>
      </c>
      <c r="Y168" s="2"/>
      <c r="Z168" s="15" t="str">
        <f t="shared" si="74"/>
        <v/>
      </c>
      <c r="AA168" s="15">
        <f>IF(Z168="",0,AVERAGE(Z$10:Z168))</f>
        <v>0</v>
      </c>
      <c r="AB168" s="15">
        <f>IF(Z167="",0,VAR(Z$10:Z168))</f>
        <v>0</v>
      </c>
      <c r="AD168" s="2"/>
      <c r="AE168" s="15" t="str">
        <f t="shared" si="81"/>
        <v/>
      </c>
      <c r="AF168" s="15">
        <f>IF(AE168="",0,AVERAGE(AE$10:AE168))</f>
        <v>0</v>
      </c>
      <c r="AG168" s="15">
        <f>IF(AE167="",0,VAR(AE$10:AE168))</f>
        <v>0</v>
      </c>
      <c r="AI168" s="2"/>
      <c r="AJ168" s="15" t="str">
        <f t="shared" si="75"/>
        <v/>
      </c>
      <c r="AK168" s="15">
        <f>IF(AJ168="",0,AVERAGE(AJ$10:AJ168))</f>
        <v>0</v>
      </c>
      <c r="AL168" s="15">
        <f>IF(AJ167="",0,VAR(AJ$10:AJ168))</f>
        <v>0</v>
      </c>
      <c r="AN168" s="2"/>
      <c r="AO168" s="15" t="str">
        <f t="shared" si="76"/>
        <v/>
      </c>
      <c r="AP168" s="15">
        <f>IF(AO168="",0,AVERAGE(AO$10:AO168))</f>
        <v>0</v>
      </c>
      <c r="AQ168" s="15">
        <f>IF(AO167="",0,VAR(AO$10:AO168))</f>
        <v>0</v>
      </c>
      <c r="AS168" s="2"/>
      <c r="AT168" s="15" t="str">
        <f t="shared" si="77"/>
        <v/>
      </c>
      <c r="AU168" s="15">
        <f>IF(AT168="",0,AVERAGE(AT$10:AT168))</f>
        <v>0</v>
      </c>
      <c r="AV168" s="15">
        <f>IF(AT167="",0,VAR(AT$10:AT168))</f>
        <v>0</v>
      </c>
      <c r="AX168" s="2"/>
      <c r="AY168" s="15" t="str">
        <f t="shared" si="78"/>
        <v/>
      </c>
      <c r="AZ168" s="15">
        <f>IF(AY168="",0,AVERAGE(AY$10:AY168))</f>
        <v>0</v>
      </c>
      <c r="BA168" s="15">
        <f>IF(AY167="",0,VAR(AY$10:AY168))</f>
        <v>0</v>
      </c>
    </row>
    <row r="169" spans="3:53" x14ac:dyDescent="0.25">
      <c r="C169" s="2"/>
      <c r="E169" s="2"/>
      <c r="F169" s="15" t="str">
        <f t="shared" ref="F169" si="90">IF(E169="","",+(E169-E168)/E168)</f>
        <v/>
      </c>
      <c r="G169" s="15">
        <f>IF(F169="",0,AVERAGE($F$10:F169))</f>
        <v>0</v>
      </c>
      <c r="H169" s="15">
        <f>IF(F168="",0,VAR($F$10:F169))</f>
        <v>0</v>
      </c>
      <c r="J169" s="2"/>
      <c r="K169" s="15" t="str">
        <f t="shared" si="72"/>
        <v/>
      </c>
      <c r="L169" s="15">
        <f>IF(K169="",0,AVERAGE($K$10:K169))</f>
        <v>0</v>
      </c>
      <c r="M169" s="15">
        <f>IF(K168="",0,VAR($K$10:K169))</f>
        <v>0</v>
      </c>
      <c r="O169" s="2"/>
      <c r="P169" s="15" t="str">
        <f t="shared" si="73"/>
        <v/>
      </c>
      <c r="Q169" s="15">
        <f>IF(P169="",0,AVERAGE(P$10:P169))</f>
        <v>0</v>
      </c>
      <c r="R169" s="15">
        <f>IF(P168="",0,VAR(P$10:P169))</f>
        <v>0</v>
      </c>
      <c r="T169" s="2"/>
      <c r="U169" s="15" t="str">
        <f t="shared" si="80"/>
        <v/>
      </c>
      <c r="V169" s="15">
        <f>IF(U169="",0,AVERAGE(U$10:U169))</f>
        <v>0</v>
      </c>
      <c r="W169" s="15">
        <f>IF(U168="",0,VAR(U$10:U169))</f>
        <v>0</v>
      </c>
      <c r="Y169" s="2"/>
      <c r="Z169" s="15" t="str">
        <f t="shared" si="74"/>
        <v/>
      </c>
      <c r="AA169" s="15">
        <f>IF(Z169="",0,AVERAGE(Z$10:Z169))</f>
        <v>0</v>
      </c>
      <c r="AB169" s="15">
        <f>IF(Z168="",0,VAR(Z$10:Z169))</f>
        <v>0</v>
      </c>
      <c r="AD169" s="2"/>
      <c r="AE169" s="15" t="str">
        <f t="shared" si="81"/>
        <v/>
      </c>
      <c r="AF169" s="15">
        <f>IF(AE169="",0,AVERAGE(AE$10:AE169))</f>
        <v>0</v>
      </c>
      <c r="AG169" s="15">
        <f>IF(AE168="",0,VAR(AE$10:AE169))</f>
        <v>0</v>
      </c>
      <c r="AI169" s="2"/>
      <c r="AJ169" s="15" t="str">
        <f t="shared" si="75"/>
        <v/>
      </c>
      <c r="AK169" s="15">
        <f>IF(AJ169="",0,AVERAGE(AJ$10:AJ169))</f>
        <v>0</v>
      </c>
      <c r="AL169" s="15">
        <f>IF(AJ168="",0,VAR(AJ$10:AJ169))</f>
        <v>0</v>
      </c>
      <c r="AN169" s="2"/>
      <c r="AO169" s="15" t="str">
        <f t="shared" si="76"/>
        <v/>
      </c>
      <c r="AP169" s="15">
        <f>IF(AO169="",0,AVERAGE(AO$10:AO169))</f>
        <v>0</v>
      </c>
      <c r="AQ169" s="15">
        <f>IF(AO168="",0,VAR(AO$10:AO169))</f>
        <v>0</v>
      </c>
      <c r="AS169" s="2"/>
      <c r="AT169" s="15" t="str">
        <f t="shared" si="77"/>
        <v/>
      </c>
      <c r="AU169" s="15">
        <f>IF(AT169="",0,AVERAGE(AT$10:AT169))</f>
        <v>0</v>
      </c>
      <c r="AV169" s="15">
        <f>IF(AT168="",0,VAR(AT$10:AT169))</f>
        <v>0</v>
      </c>
      <c r="AX169" s="2"/>
      <c r="AY169" s="15" t="str">
        <f t="shared" si="78"/>
        <v/>
      </c>
      <c r="AZ169" s="15">
        <f>IF(AY169="",0,AVERAGE(AY$10:AY169))</f>
        <v>0</v>
      </c>
      <c r="BA169" s="15">
        <f>IF(AY168="",0,VAR(AY$10:AY169))</f>
        <v>0</v>
      </c>
    </row>
    <row r="170" spans="3:53" x14ac:dyDescent="0.25">
      <c r="C170" s="2"/>
      <c r="E170" s="2"/>
      <c r="F170" s="15" t="str">
        <f t="shared" si="71"/>
        <v/>
      </c>
      <c r="G170" s="15">
        <f>IF(F170="",0,AVERAGE($F$10:F170))</f>
        <v>0</v>
      </c>
      <c r="H170" s="15">
        <f>IF(F169="",0,VAR($F$10:F170))</f>
        <v>0</v>
      </c>
      <c r="J170" s="2"/>
      <c r="K170" s="15" t="str">
        <f t="shared" si="72"/>
        <v/>
      </c>
      <c r="L170" s="15">
        <f>IF(K170="",0,AVERAGE($K$10:K170))</f>
        <v>0</v>
      </c>
      <c r="M170" s="15">
        <f>IF(K169="",0,VAR($K$10:K170))</f>
        <v>0</v>
      </c>
      <c r="O170" s="2"/>
      <c r="P170" s="15" t="str">
        <f t="shared" si="73"/>
        <v/>
      </c>
      <c r="Q170" s="15">
        <f>IF(P170="",0,AVERAGE(P$10:P170))</f>
        <v>0</v>
      </c>
      <c r="R170" s="15">
        <f>IF(P169="",0,VAR(P$10:P170))</f>
        <v>0</v>
      </c>
      <c r="T170" s="2"/>
      <c r="U170" s="15" t="str">
        <f t="shared" si="80"/>
        <v/>
      </c>
      <c r="V170" s="15">
        <f>IF(U170="",0,AVERAGE(U$10:U170))</f>
        <v>0</v>
      </c>
      <c r="W170" s="15">
        <f>IF(U169="",0,VAR(U$10:U170))</f>
        <v>0</v>
      </c>
      <c r="Y170" s="2"/>
      <c r="Z170" s="15" t="str">
        <f t="shared" si="74"/>
        <v/>
      </c>
      <c r="AA170" s="15">
        <f>IF(Z170="",0,AVERAGE(Z$10:Z170))</f>
        <v>0</v>
      </c>
      <c r="AB170" s="15">
        <f>IF(Z169="",0,VAR(Z$10:Z170))</f>
        <v>0</v>
      </c>
      <c r="AD170" s="2"/>
      <c r="AE170" s="15" t="str">
        <f t="shared" si="81"/>
        <v/>
      </c>
      <c r="AF170" s="15">
        <f>IF(AE170="",0,AVERAGE(AE$10:AE170))</f>
        <v>0</v>
      </c>
      <c r="AG170" s="15">
        <f>IF(AE169="",0,VAR(AE$10:AE170))</f>
        <v>0</v>
      </c>
      <c r="AI170" s="2"/>
      <c r="AJ170" s="15" t="str">
        <f t="shared" si="75"/>
        <v/>
      </c>
      <c r="AK170" s="15">
        <f>IF(AJ170="",0,AVERAGE(AJ$10:AJ170))</f>
        <v>0</v>
      </c>
      <c r="AL170" s="15">
        <f>IF(AJ169="",0,VAR(AJ$10:AJ170))</f>
        <v>0</v>
      </c>
      <c r="AN170" s="2"/>
      <c r="AO170" s="15" t="str">
        <f t="shared" si="76"/>
        <v/>
      </c>
      <c r="AP170" s="15">
        <f>IF(AO170="",0,AVERAGE(AO$10:AO170))</f>
        <v>0</v>
      </c>
      <c r="AQ170" s="15">
        <f>IF(AO169="",0,VAR(AO$10:AO170))</f>
        <v>0</v>
      </c>
      <c r="AS170" s="2"/>
      <c r="AT170" s="15" t="str">
        <f t="shared" si="77"/>
        <v/>
      </c>
      <c r="AU170" s="15">
        <f>IF(AT170="",0,AVERAGE(AT$10:AT170))</f>
        <v>0</v>
      </c>
      <c r="AV170" s="15">
        <f>IF(AT169="",0,VAR(AT$10:AT170))</f>
        <v>0</v>
      </c>
      <c r="AX170" s="2"/>
      <c r="AY170" s="15" t="str">
        <f t="shared" si="78"/>
        <v/>
      </c>
      <c r="AZ170" s="15">
        <f>IF(AY170="",0,AVERAGE(AY$10:AY170))</f>
        <v>0</v>
      </c>
      <c r="BA170" s="15">
        <f>IF(AY169="",0,VAR(AY$10:AY170))</f>
        <v>0</v>
      </c>
    </row>
    <row r="171" spans="3:53" x14ac:dyDescent="0.25">
      <c r="C171" s="2"/>
      <c r="E171" s="2"/>
      <c r="F171" s="15"/>
      <c r="G171" s="15">
        <f>IF(F171="",0,AVERAGE($F$10:F171))</f>
        <v>0</v>
      </c>
      <c r="H171" s="15">
        <f>IF(F170="",0,VAR($F$10:F171))</f>
        <v>0</v>
      </c>
      <c r="J171" s="2"/>
      <c r="K171" s="15" t="str">
        <f t="shared" si="72"/>
        <v/>
      </c>
      <c r="L171" s="15">
        <f>IF(K171="",0,AVERAGE($K$10:K171))</f>
        <v>0</v>
      </c>
      <c r="M171" s="15">
        <f>IF(K170="",0,VAR($K$10:K171))</f>
        <v>0</v>
      </c>
      <c r="O171" s="2"/>
      <c r="P171" s="15" t="str">
        <f t="shared" si="73"/>
        <v/>
      </c>
      <c r="Q171" s="15">
        <f>IF(P171="",0,AVERAGE(P$10:P171))</f>
        <v>0</v>
      </c>
      <c r="R171" s="15">
        <f>IF(P170="",0,VAR(P$10:P171))</f>
        <v>0</v>
      </c>
      <c r="T171" s="2"/>
      <c r="U171" s="15" t="str">
        <f t="shared" si="80"/>
        <v/>
      </c>
      <c r="V171" s="15">
        <f>IF(U171="",0,AVERAGE(U$10:U171))</f>
        <v>0</v>
      </c>
      <c r="W171" s="15">
        <f>IF(U170="",0,VAR(U$10:U171))</f>
        <v>0</v>
      </c>
      <c r="Y171" s="2"/>
      <c r="Z171" s="15" t="str">
        <f t="shared" si="74"/>
        <v/>
      </c>
      <c r="AA171" s="15">
        <f>IF(Z171="",0,AVERAGE(Z$10:Z171))</f>
        <v>0</v>
      </c>
      <c r="AB171" s="15">
        <f>IF(Z170="",0,VAR(Z$10:Z171))</f>
        <v>0</v>
      </c>
      <c r="AD171" s="2"/>
      <c r="AE171" s="15" t="str">
        <f t="shared" si="81"/>
        <v/>
      </c>
      <c r="AF171" s="15">
        <f>IF(AE171="",0,AVERAGE(AE$10:AE171))</f>
        <v>0</v>
      </c>
      <c r="AG171" s="15">
        <f>IF(AE170="",0,VAR(AE$10:AE171))</f>
        <v>0</v>
      </c>
      <c r="AI171" s="2"/>
      <c r="AJ171" s="15" t="str">
        <f t="shared" si="75"/>
        <v/>
      </c>
      <c r="AK171" s="15">
        <f>IF(AJ171="",0,AVERAGE(AJ$10:AJ171))</f>
        <v>0</v>
      </c>
      <c r="AL171" s="15">
        <f>IF(AJ170="",0,VAR(AJ$10:AJ171))</f>
        <v>0</v>
      </c>
      <c r="AN171" s="2"/>
      <c r="AO171" s="15" t="str">
        <f t="shared" si="76"/>
        <v/>
      </c>
      <c r="AP171" s="15">
        <f>IF(AO171="",0,AVERAGE(AO$10:AO171))</f>
        <v>0</v>
      </c>
      <c r="AQ171" s="15">
        <f>IF(AO170="",0,VAR(AO$10:AO171))</f>
        <v>0</v>
      </c>
      <c r="AS171" s="2"/>
      <c r="AT171" s="15" t="str">
        <f t="shared" si="77"/>
        <v/>
      </c>
      <c r="AU171" s="15">
        <f>IF(AT171="",0,AVERAGE(AT$10:AT171))</f>
        <v>0</v>
      </c>
      <c r="AV171" s="15">
        <f>IF(AT170="",0,VAR(AT$10:AT171))</f>
        <v>0</v>
      </c>
      <c r="AX171" s="2"/>
      <c r="AY171" s="15" t="str">
        <f t="shared" si="78"/>
        <v/>
      </c>
      <c r="AZ171" s="15">
        <f>IF(AY171="",0,AVERAGE(AY$10:AY171))</f>
        <v>0</v>
      </c>
      <c r="BA171" s="15">
        <f>IF(AY170="",0,VAR(AY$10:AY171))</f>
        <v>0</v>
      </c>
    </row>
    <row r="172" spans="3:53" x14ac:dyDescent="0.25">
      <c r="C172" s="2"/>
      <c r="E172" s="2"/>
      <c r="F172" s="15" t="str">
        <f t="shared" ref="F172" si="91">IF(E172="","",+(E172-E171)/E171)</f>
        <v/>
      </c>
      <c r="G172" s="15">
        <f>IF(F172="",0,AVERAGE($F$10:F172))</f>
        <v>0</v>
      </c>
      <c r="H172" s="15">
        <f>IF(F171="",0,VAR($F$10:F172))</f>
        <v>0</v>
      </c>
      <c r="J172" s="2"/>
      <c r="K172" s="15" t="str">
        <f t="shared" si="72"/>
        <v/>
      </c>
      <c r="L172" s="15">
        <f>IF(K172="",0,AVERAGE($K$10:K172))</f>
        <v>0</v>
      </c>
      <c r="M172" s="15">
        <f>IF(K171="",0,VAR($K$10:K172))</f>
        <v>0</v>
      </c>
      <c r="O172" s="2"/>
      <c r="P172" s="15" t="str">
        <f t="shared" si="73"/>
        <v/>
      </c>
      <c r="Q172" s="15">
        <f>IF(P172="",0,AVERAGE(P$10:P172))</f>
        <v>0</v>
      </c>
      <c r="R172" s="15">
        <f>IF(P171="",0,VAR(P$10:P172))</f>
        <v>0</v>
      </c>
      <c r="T172" s="2"/>
      <c r="U172" s="15" t="str">
        <f t="shared" si="80"/>
        <v/>
      </c>
      <c r="V172" s="15">
        <f>IF(U172="",0,AVERAGE(U$10:U172))</f>
        <v>0</v>
      </c>
      <c r="W172" s="15">
        <f>IF(U171="",0,VAR(U$10:U172))</f>
        <v>0</v>
      </c>
      <c r="Y172" s="2"/>
      <c r="Z172" s="15" t="str">
        <f t="shared" si="74"/>
        <v/>
      </c>
      <c r="AA172" s="15">
        <f>IF(Z172="",0,AVERAGE(Z$10:Z172))</f>
        <v>0</v>
      </c>
      <c r="AB172" s="15">
        <f>IF(Z171="",0,VAR(Z$10:Z172))</f>
        <v>0</v>
      </c>
      <c r="AD172" s="2"/>
      <c r="AE172" s="15" t="str">
        <f t="shared" si="81"/>
        <v/>
      </c>
      <c r="AF172" s="15">
        <f>IF(AE172="",0,AVERAGE(AE$10:AE172))</f>
        <v>0</v>
      </c>
      <c r="AG172" s="15">
        <f>IF(AE171="",0,VAR(AE$10:AE172))</f>
        <v>0</v>
      </c>
      <c r="AI172" s="2"/>
      <c r="AJ172" s="15" t="str">
        <f t="shared" si="75"/>
        <v/>
      </c>
      <c r="AK172" s="15">
        <f>IF(AJ172="",0,AVERAGE(AJ$10:AJ172))</f>
        <v>0</v>
      </c>
      <c r="AL172" s="15">
        <f>IF(AJ171="",0,VAR(AJ$10:AJ172))</f>
        <v>0</v>
      </c>
      <c r="AN172" s="2"/>
      <c r="AO172" s="15" t="str">
        <f t="shared" si="76"/>
        <v/>
      </c>
      <c r="AP172" s="15">
        <f>IF(AO172="",0,AVERAGE(AO$10:AO172))</f>
        <v>0</v>
      </c>
      <c r="AQ172" s="15">
        <f>IF(AO171="",0,VAR(AO$10:AO172))</f>
        <v>0</v>
      </c>
      <c r="AS172" s="2"/>
      <c r="AT172" s="15" t="str">
        <f t="shared" si="77"/>
        <v/>
      </c>
      <c r="AU172" s="15">
        <f>IF(AT172="",0,AVERAGE(AT$10:AT172))</f>
        <v>0</v>
      </c>
      <c r="AV172" s="15">
        <f>IF(AT171="",0,VAR(AT$10:AT172))</f>
        <v>0</v>
      </c>
      <c r="AX172" s="2"/>
      <c r="AY172" s="15" t="str">
        <f t="shared" si="78"/>
        <v/>
      </c>
      <c r="AZ172" s="15">
        <f>IF(AY172="",0,AVERAGE(AY$10:AY172))</f>
        <v>0</v>
      </c>
      <c r="BA172" s="15">
        <f>IF(AY171="",0,VAR(AY$10:AY172))</f>
        <v>0</v>
      </c>
    </row>
    <row r="173" spans="3:53" x14ac:dyDescent="0.25">
      <c r="C173" s="2"/>
      <c r="E173" s="2"/>
      <c r="F173" s="15" t="str">
        <f t="shared" si="71"/>
        <v/>
      </c>
      <c r="G173" s="15">
        <f>IF(F173="",0,AVERAGE($F$10:F173))</f>
        <v>0</v>
      </c>
      <c r="H173" s="15">
        <f>IF(F172="",0,VAR($F$10:F173))</f>
        <v>0</v>
      </c>
      <c r="J173" s="2"/>
      <c r="K173" s="15" t="str">
        <f t="shared" si="72"/>
        <v/>
      </c>
      <c r="L173" s="15">
        <f>IF(K173="",0,AVERAGE($K$10:K173))</f>
        <v>0</v>
      </c>
      <c r="M173" s="15">
        <f>IF(K172="",0,VAR($K$10:K173))</f>
        <v>0</v>
      </c>
      <c r="O173" s="2"/>
      <c r="P173" s="15" t="str">
        <f t="shared" si="73"/>
        <v/>
      </c>
      <c r="Q173" s="15">
        <f>IF(P173="",0,AVERAGE(P$10:P173))</f>
        <v>0</v>
      </c>
      <c r="R173" s="15">
        <f>IF(P172="",0,VAR(P$10:P173))</f>
        <v>0</v>
      </c>
      <c r="T173" s="2"/>
      <c r="U173" s="15" t="str">
        <f t="shared" si="80"/>
        <v/>
      </c>
      <c r="V173" s="15">
        <f>IF(U173="",0,AVERAGE(U$10:U173))</f>
        <v>0</v>
      </c>
      <c r="W173" s="15">
        <f>IF(U172="",0,VAR(U$10:U173))</f>
        <v>0</v>
      </c>
      <c r="Y173" s="2"/>
      <c r="Z173" s="15" t="str">
        <f t="shared" si="74"/>
        <v/>
      </c>
      <c r="AA173" s="15">
        <f>IF(Z173="",0,AVERAGE(Z$10:Z173))</f>
        <v>0</v>
      </c>
      <c r="AB173" s="15">
        <f>IF(Z172="",0,VAR(Z$10:Z173))</f>
        <v>0</v>
      </c>
      <c r="AD173" s="2"/>
      <c r="AE173" s="15" t="str">
        <f t="shared" si="81"/>
        <v/>
      </c>
      <c r="AF173" s="15">
        <f>IF(AE173="",0,AVERAGE(AE$10:AE173))</f>
        <v>0</v>
      </c>
      <c r="AG173" s="15">
        <f>IF(AE172="",0,VAR(AE$10:AE173))</f>
        <v>0</v>
      </c>
      <c r="AI173" s="2"/>
      <c r="AJ173" s="15" t="str">
        <f t="shared" si="75"/>
        <v/>
      </c>
      <c r="AK173" s="15">
        <f>IF(AJ173="",0,AVERAGE(AJ$10:AJ173))</f>
        <v>0</v>
      </c>
      <c r="AL173" s="15">
        <f>IF(AJ172="",0,VAR(AJ$10:AJ173))</f>
        <v>0</v>
      </c>
      <c r="AN173" s="2"/>
      <c r="AO173" s="15" t="str">
        <f t="shared" si="76"/>
        <v/>
      </c>
      <c r="AP173" s="15">
        <f>IF(AO173="",0,AVERAGE(AO$10:AO173))</f>
        <v>0</v>
      </c>
      <c r="AQ173" s="15">
        <f>IF(AO172="",0,VAR(AO$10:AO173))</f>
        <v>0</v>
      </c>
      <c r="AS173" s="2"/>
      <c r="AT173" s="15" t="str">
        <f t="shared" si="77"/>
        <v/>
      </c>
      <c r="AU173" s="15">
        <f>IF(AT173="",0,AVERAGE(AT$10:AT173))</f>
        <v>0</v>
      </c>
      <c r="AV173" s="15">
        <f>IF(AT172="",0,VAR(AT$10:AT173))</f>
        <v>0</v>
      </c>
      <c r="AX173" s="2"/>
      <c r="AY173" s="15" t="str">
        <f t="shared" si="78"/>
        <v/>
      </c>
      <c r="AZ173" s="15">
        <f>IF(AY173="",0,AVERAGE(AY$10:AY173))</f>
        <v>0</v>
      </c>
      <c r="BA173" s="15">
        <f>IF(AY172="",0,VAR(AY$10:AY173))</f>
        <v>0</v>
      </c>
    </row>
    <row r="174" spans="3:53" x14ac:dyDescent="0.25">
      <c r="C174" s="2"/>
      <c r="E174" s="2"/>
      <c r="F174" s="15"/>
      <c r="G174" s="15">
        <f>IF(F174="",0,AVERAGE($F$10:F174))</f>
        <v>0</v>
      </c>
      <c r="H174" s="15">
        <f>IF(F173="",0,VAR($F$10:F174))</f>
        <v>0</v>
      </c>
      <c r="J174" s="2"/>
      <c r="K174" s="15" t="str">
        <f t="shared" si="72"/>
        <v/>
      </c>
      <c r="L174" s="15">
        <f>IF(K174="",0,AVERAGE($K$10:K174))</f>
        <v>0</v>
      </c>
      <c r="M174" s="15">
        <f>IF(K173="",0,VAR($K$10:K174))</f>
        <v>0</v>
      </c>
      <c r="O174" s="2"/>
      <c r="P174" s="15" t="str">
        <f t="shared" si="73"/>
        <v/>
      </c>
      <c r="Q174" s="15">
        <f>IF(P174="",0,AVERAGE(P$10:P174))</f>
        <v>0</v>
      </c>
      <c r="R174" s="15">
        <f>IF(P173="",0,VAR(P$10:P174))</f>
        <v>0</v>
      </c>
      <c r="T174" s="2"/>
      <c r="U174" s="15" t="str">
        <f t="shared" si="80"/>
        <v/>
      </c>
      <c r="V174" s="15">
        <f>IF(U174="",0,AVERAGE(U$10:U174))</f>
        <v>0</v>
      </c>
      <c r="W174" s="15">
        <f>IF(U173="",0,VAR(U$10:U174))</f>
        <v>0</v>
      </c>
      <c r="Y174" s="2"/>
      <c r="Z174" s="15" t="str">
        <f t="shared" si="74"/>
        <v/>
      </c>
      <c r="AA174" s="15">
        <f>IF(Z174="",0,AVERAGE(Z$10:Z174))</f>
        <v>0</v>
      </c>
      <c r="AB174" s="15">
        <f>IF(Z173="",0,VAR(Z$10:Z174))</f>
        <v>0</v>
      </c>
      <c r="AD174" s="2"/>
      <c r="AE174" s="15" t="str">
        <f t="shared" si="81"/>
        <v/>
      </c>
      <c r="AF174" s="15">
        <f>IF(AE174="",0,AVERAGE(AE$10:AE174))</f>
        <v>0</v>
      </c>
      <c r="AG174" s="15">
        <f>IF(AE173="",0,VAR(AE$10:AE174))</f>
        <v>0</v>
      </c>
      <c r="AI174" s="2"/>
      <c r="AJ174" s="15" t="str">
        <f t="shared" si="75"/>
        <v/>
      </c>
      <c r="AK174" s="15">
        <f>IF(AJ174="",0,AVERAGE(AJ$10:AJ174))</f>
        <v>0</v>
      </c>
      <c r="AL174" s="15">
        <f>IF(AJ173="",0,VAR(AJ$10:AJ174))</f>
        <v>0</v>
      </c>
      <c r="AN174" s="2"/>
      <c r="AO174" s="15" t="str">
        <f t="shared" si="76"/>
        <v/>
      </c>
      <c r="AP174" s="15">
        <f>IF(AO174="",0,AVERAGE(AO$10:AO174))</f>
        <v>0</v>
      </c>
      <c r="AQ174" s="15">
        <f>IF(AO173="",0,VAR(AO$10:AO174))</f>
        <v>0</v>
      </c>
      <c r="AS174" s="2"/>
      <c r="AT174" s="15" t="str">
        <f t="shared" si="77"/>
        <v/>
      </c>
      <c r="AU174" s="15">
        <f>IF(AT174="",0,AVERAGE(AT$10:AT174))</f>
        <v>0</v>
      </c>
      <c r="AV174" s="15">
        <f>IF(AT173="",0,VAR(AT$10:AT174))</f>
        <v>0</v>
      </c>
      <c r="AX174" s="2"/>
      <c r="AY174" s="15" t="str">
        <f t="shared" si="78"/>
        <v/>
      </c>
      <c r="AZ174" s="15">
        <f>IF(AY174="",0,AVERAGE(AY$10:AY174))</f>
        <v>0</v>
      </c>
      <c r="BA174" s="15">
        <f>IF(AY173="",0,VAR(AY$10:AY174))</f>
        <v>0</v>
      </c>
    </row>
    <row r="175" spans="3:53" x14ac:dyDescent="0.25">
      <c r="C175" s="2"/>
      <c r="E175" s="2"/>
      <c r="F175" s="15" t="str">
        <f t="shared" ref="F175" si="92">IF(E175="","",+(E175-E174)/E174)</f>
        <v/>
      </c>
      <c r="G175" s="15">
        <f>IF(F175="",0,AVERAGE($F$10:F175))</f>
        <v>0</v>
      </c>
      <c r="H175" s="15">
        <f>IF(F174="",0,VAR($F$10:F175))</f>
        <v>0</v>
      </c>
      <c r="J175" s="2"/>
      <c r="K175" s="15" t="str">
        <f t="shared" si="72"/>
        <v/>
      </c>
      <c r="L175" s="15">
        <f>IF(K175="",0,AVERAGE($K$10:K175))</f>
        <v>0</v>
      </c>
      <c r="M175" s="15">
        <f>IF(K174="",0,VAR($K$10:K175))</f>
        <v>0</v>
      </c>
      <c r="O175" s="2"/>
      <c r="P175" s="15" t="str">
        <f t="shared" si="73"/>
        <v/>
      </c>
      <c r="Q175" s="15">
        <f>IF(P175="",0,AVERAGE(P$10:P175))</f>
        <v>0</v>
      </c>
      <c r="R175" s="15">
        <f>IF(P174="",0,VAR(P$10:P175))</f>
        <v>0</v>
      </c>
      <c r="T175" s="2"/>
      <c r="U175" s="15" t="str">
        <f t="shared" si="80"/>
        <v/>
      </c>
      <c r="V175" s="15">
        <f>IF(U175="",0,AVERAGE(U$10:U175))</f>
        <v>0</v>
      </c>
      <c r="W175" s="15">
        <f>IF(U174="",0,VAR(U$10:U175))</f>
        <v>0</v>
      </c>
      <c r="Y175" s="2"/>
      <c r="Z175" s="15" t="str">
        <f t="shared" si="74"/>
        <v/>
      </c>
      <c r="AA175" s="15">
        <f>IF(Z175="",0,AVERAGE(Z$10:Z175))</f>
        <v>0</v>
      </c>
      <c r="AB175" s="15">
        <f>IF(Z174="",0,VAR(Z$10:Z175))</f>
        <v>0</v>
      </c>
      <c r="AD175" s="2"/>
      <c r="AE175" s="15" t="str">
        <f t="shared" si="81"/>
        <v/>
      </c>
      <c r="AF175" s="15">
        <f>IF(AE175="",0,AVERAGE(AE$10:AE175))</f>
        <v>0</v>
      </c>
      <c r="AG175" s="15">
        <f>IF(AE174="",0,VAR(AE$10:AE175))</f>
        <v>0</v>
      </c>
      <c r="AI175" s="2"/>
      <c r="AJ175" s="15" t="str">
        <f t="shared" si="75"/>
        <v/>
      </c>
      <c r="AK175" s="15">
        <f>IF(AJ175="",0,AVERAGE(AJ$10:AJ175))</f>
        <v>0</v>
      </c>
      <c r="AL175" s="15">
        <f>IF(AJ174="",0,VAR(AJ$10:AJ175))</f>
        <v>0</v>
      </c>
      <c r="AN175" s="2"/>
      <c r="AO175" s="15" t="str">
        <f t="shared" si="76"/>
        <v/>
      </c>
      <c r="AP175" s="15">
        <f>IF(AO175="",0,AVERAGE(AO$10:AO175))</f>
        <v>0</v>
      </c>
      <c r="AQ175" s="15">
        <f>IF(AO174="",0,VAR(AO$10:AO175))</f>
        <v>0</v>
      </c>
      <c r="AS175" s="2"/>
      <c r="AT175" s="15" t="str">
        <f t="shared" si="77"/>
        <v/>
      </c>
      <c r="AU175" s="15">
        <f>IF(AT175="",0,AVERAGE(AT$10:AT175))</f>
        <v>0</v>
      </c>
      <c r="AV175" s="15">
        <f>IF(AT174="",0,VAR(AT$10:AT175))</f>
        <v>0</v>
      </c>
      <c r="AX175" s="2"/>
      <c r="AY175" s="15" t="str">
        <f t="shared" si="78"/>
        <v/>
      </c>
      <c r="AZ175" s="15">
        <f>IF(AY175="",0,AVERAGE(AY$10:AY175))</f>
        <v>0</v>
      </c>
      <c r="BA175" s="15">
        <f>IF(AY174="",0,VAR(AY$10:AY175))</f>
        <v>0</v>
      </c>
    </row>
    <row r="176" spans="3:53" x14ac:dyDescent="0.25">
      <c r="C176" s="2"/>
      <c r="E176" s="2"/>
      <c r="F176" s="15" t="str">
        <f t="shared" si="71"/>
        <v/>
      </c>
      <c r="G176" s="15">
        <f>IF(F176="",0,AVERAGE($F$10:F176))</f>
        <v>0</v>
      </c>
      <c r="H176" s="15">
        <f>IF(F175="",0,VAR($F$10:F176))</f>
        <v>0</v>
      </c>
      <c r="J176" s="2"/>
      <c r="K176" s="15" t="str">
        <f t="shared" si="72"/>
        <v/>
      </c>
      <c r="L176" s="15">
        <f>IF(K176="",0,AVERAGE($K$10:K176))</f>
        <v>0</v>
      </c>
      <c r="M176" s="15">
        <f>IF(K175="",0,VAR($K$10:K176))</f>
        <v>0</v>
      </c>
      <c r="O176" s="2"/>
      <c r="P176" s="15" t="str">
        <f t="shared" si="73"/>
        <v/>
      </c>
      <c r="Q176" s="15">
        <f>IF(P176="",0,AVERAGE(P$10:P176))</f>
        <v>0</v>
      </c>
      <c r="R176" s="15">
        <f>IF(P175="",0,VAR(P$10:P176))</f>
        <v>0</v>
      </c>
      <c r="T176" s="2"/>
      <c r="U176" s="15" t="str">
        <f t="shared" si="80"/>
        <v/>
      </c>
      <c r="V176" s="15">
        <f>IF(U176="",0,AVERAGE(U$10:U176))</f>
        <v>0</v>
      </c>
      <c r="W176" s="15">
        <f>IF(U175="",0,VAR(U$10:U176))</f>
        <v>0</v>
      </c>
      <c r="Y176" s="2"/>
      <c r="Z176" s="15" t="str">
        <f t="shared" si="74"/>
        <v/>
      </c>
      <c r="AA176" s="15">
        <f>IF(Z176="",0,AVERAGE(Z$10:Z176))</f>
        <v>0</v>
      </c>
      <c r="AB176" s="15">
        <f>IF(Z175="",0,VAR(Z$10:Z176))</f>
        <v>0</v>
      </c>
      <c r="AD176" s="2"/>
      <c r="AE176" s="15" t="str">
        <f t="shared" si="81"/>
        <v/>
      </c>
      <c r="AF176" s="15">
        <f>IF(AE176="",0,AVERAGE(AE$10:AE176))</f>
        <v>0</v>
      </c>
      <c r="AG176" s="15">
        <f>IF(AE175="",0,VAR(AE$10:AE176))</f>
        <v>0</v>
      </c>
      <c r="AI176" s="2"/>
      <c r="AJ176" s="15" t="str">
        <f t="shared" si="75"/>
        <v/>
      </c>
      <c r="AK176" s="15">
        <f>IF(AJ176="",0,AVERAGE(AJ$10:AJ176))</f>
        <v>0</v>
      </c>
      <c r="AL176" s="15">
        <f>IF(AJ175="",0,VAR(AJ$10:AJ176))</f>
        <v>0</v>
      </c>
      <c r="AN176" s="2"/>
      <c r="AO176" s="15" t="str">
        <f t="shared" si="76"/>
        <v/>
      </c>
      <c r="AP176" s="15">
        <f>IF(AO176="",0,AVERAGE(AO$10:AO176))</f>
        <v>0</v>
      </c>
      <c r="AQ176" s="15">
        <f>IF(AO175="",0,VAR(AO$10:AO176))</f>
        <v>0</v>
      </c>
      <c r="AS176" s="2"/>
      <c r="AT176" s="15" t="str">
        <f t="shared" si="77"/>
        <v/>
      </c>
      <c r="AU176" s="15">
        <f>IF(AT176="",0,AVERAGE(AT$10:AT176))</f>
        <v>0</v>
      </c>
      <c r="AV176" s="15">
        <f>IF(AT175="",0,VAR(AT$10:AT176))</f>
        <v>0</v>
      </c>
      <c r="AX176" s="2"/>
      <c r="AY176" s="15" t="str">
        <f t="shared" si="78"/>
        <v/>
      </c>
      <c r="AZ176" s="15">
        <f>IF(AY176="",0,AVERAGE(AY$10:AY176))</f>
        <v>0</v>
      </c>
      <c r="BA176" s="15">
        <f>IF(AY175="",0,VAR(AY$10:AY176))</f>
        <v>0</v>
      </c>
    </row>
    <row r="177" spans="3:53" x14ac:dyDescent="0.25">
      <c r="C177" s="2"/>
      <c r="E177" s="2"/>
      <c r="F177" s="15"/>
      <c r="G177" s="15">
        <f>IF(F177="",0,AVERAGE($F$10:F177))</f>
        <v>0</v>
      </c>
      <c r="H177" s="15">
        <f>IF(F176="",0,VAR($F$10:F177))</f>
        <v>0</v>
      </c>
      <c r="J177" s="2"/>
      <c r="K177" s="15" t="str">
        <f t="shared" si="72"/>
        <v/>
      </c>
      <c r="L177" s="15">
        <f>IF(K177="",0,AVERAGE($K$10:K177))</f>
        <v>0</v>
      </c>
      <c r="M177" s="15">
        <f>IF(K176="",0,VAR($K$10:K177))</f>
        <v>0</v>
      </c>
      <c r="O177" s="2"/>
      <c r="P177" s="15" t="str">
        <f t="shared" si="73"/>
        <v/>
      </c>
      <c r="Q177" s="15">
        <f>IF(P177="",0,AVERAGE(P$10:P177))</f>
        <v>0</v>
      </c>
      <c r="R177" s="15">
        <f>IF(P176="",0,VAR(P$10:P177))</f>
        <v>0</v>
      </c>
      <c r="T177" s="2"/>
      <c r="U177" s="15" t="str">
        <f t="shared" si="80"/>
        <v/>
      </c>
      <c r="V177" s="15">
        <f>IF(U177="",0,AVERAGE(U$10:U177))</f>
        <v>0</v>
      </c>
      <c r="W177" s="15">
        <f>IF(U176="",0,VAR(U$10:U177))</f>
        <v>0</v>
      </c>
      <c r="Y177" s="2"/>
      <c r="Z177" s="15" t="str">
        <f t="shared" si="74"/>
        <v/>
      </c>
      <c r="AA177" s="15">
        <f>IF(Z177="",0,AVERAGE(Z$10:Z177))</f>
        <v>0</v>
      </c>
      <c r="AB177" s="15">
        <f>IF(Z176="",0,VAR(Z$10:Z177))</f>
        <v>0</v>
      </c>
      <c r="AD177" s="2"/>
      <c r="AE177" s="15" t="str">
        <f t="shared" si="81"/>
        <v/>
      </c>
      <c r="AF177" s="15">
        <f>IF(AE177="",0,AVERAGE(AE$10:AE177))</f>
        <v>0</v>
      </c>
      <c r="AG177" s="15">
        <f>IF(AE176="",0,VAR(AE$10:AE177))</f>
        <v>0</v>
      </c>
      <c r="AI177" s="2"/>
      <c r="AJ177" s="15" t="str">
        <f t="shared" si="75"/>
        <v/>
      </c>
      <c r="AK177" s="15">
        <f>IF(AJ177="",0,AVERAGE(AJ$10:AJ177))</f>
        <v>0</v>
      </c>
      <c r="AL177" s="15">
        <f>IF(AJ176="",0,VAR(AJ$10:AJ177))</f>
        <v>0</v>
      </c>
      <c r="AN177" s="2"/>
      <c r="AO177" s="15" t="str">
        <f t="shared" si="76"/>
        <v/>
      </c>
      <c r="AP177" s="15">
        <f>IF(AO177="",0,AVERAGE(AO$10:AO177))</f>
        <v>0</v>
      </c>
      <c r="AQ177" s="15">
        <f>IF(AO176="",0,VAR(AO$10:AO177))</f>
        <v>0</v>
      </c>
      <c r="AS177" s="2"/>
      <c r="AT177" s="15" t="str">
        <f t="shared" si="77"/>
        <v/>
      </c>
      <c r="AU177" s="15">
        <f>IF(AT177="",0,AVERAGE(AT$10:AT177))</f>
        <v>0</v>
      </c>
      <c r="AV177" s="15">
        <f>IF(AT176="",0,VAR(AT$10:AT177))</f>
        <v>0</v>
      </c>
      <c r="AX177" s="2"/>
      <c r="AY177" s="15" t="str">
        <f t="shared" si="78"/>
        <v/>
      </c>
      <c r="AZ177" s="15">
        <f>IF(AY177="",0,AVERAGE(AY$10:AY177))</f>
        <v>0</v>
      </c>
      <c r="BA177" s="15">
        <f>IF(AY176="",0,VAR(AY$10:AY177))</f>
        <v>0</v>
      </c>
    </row>
    <row r="178" spans="3:53" x14ac:dyDescent="0.25">
      <c r="C178" s="2"/>
      <c r="E178" s="2"/>
      <c r="F178" s="15" t="str">
        <f t="shared" ref="F178" si="93">IF(E178="","",+(E178-E177)/E177)</f>
        <v/>
      </c>
      <c r="G178" s="15">
        <f>IF(F178="",0,AVERAGE($F$10:F178))</f>
        <v>0</v>
      </c>
      <c r="H178" s="15">
        <f>IF(F177="",0,VAR($F$10:F178))</f>
        <v>0</v>
      </c>
      <c r="J178" s="2"/>
      <c r="K178" s="15" t="str">
        <f t="shared" si="72"/>
        <v/>
      </c>
      <c r="L178" s="15">
        <f>IF(K178="",0,AVERAGE($K$10:K178))</f>
        <v>0</v>
      </c>
      <c r="M178" s="15">
        <f>IF(K177="",0,VAR($K$10:K178))</f>
        <v>0</v>
      </c>
      <c r="O178" s="2"/>
      <c r="P178" s="15" t="str">
        <f t="shared" si="73"/>
        <v/>
      </c>
      <c r="Q178" s="15">
        <f>IF(P178="",0,AVERAGE(P$10:P178))</f>
        <v>0</v>
      </c>
      <c r="R178" s="15">
        <f>IF(P177="",0,VAR(P$10:P178))</f>
        <v>0</v>
      </c>
      <c r="T178" s="2"/>
      <c r="U178" s="15" t="str">
        <f t="shared" si="80"/>
        <v/>
      </c>
      <c r="V178" s="15">
        <f>IF(U178="",0,AVERAGE(U$10:U178))</f>
        <v>0</v>
      </c>
      <c r="W178" s="15">
        <f>IF(U177="",0,VAR(U$10:U178))</f>
        <v>0</v>
      </c>
      <c r="Y178" s="2"/>
      <c r="Z178" s="15" t="str">
        <f t="shared" si="74"/>
        <v/>
      </c>
      <c r="AA178" s="15">
        <f>IF(Z178="",0,AVERAGE(Z$10:Z178))</f>
        <v>0</v>
      </c>
      <c r="AB178" s="15">
        <f>IF(Z177="",0,VAR(Z$10:Z178))</f>
        <v>0</v>
      </c>
      <c r="AD178" s="2"/>
      <c r="AE178" s="15" t="str">
        <f t="shared" si="81"/>
        <v/>
      </c>
      <c r="AF178" s="15">
        <f>IF(AE178="",0,AVERAGE(AE$10:AE178))</f>
        <v>0</v>
      </c>
      <c r="AG178" s="15">
        <f>IF(AE177="",0,VAR(AE$10:AE178))</f>
        <v>0</v>
      </c>
      <c r="AI178" s="2"/>
      <c r="AJ178" s="15" t="str">
        <f t="shared" si="75"/>
        <v/>
      </c>
      <c r="AK178" s="15">
        <f>IF(AJ178="",0,AVERAGE(AJ$10:AJ178))</f>
        <v>0</v>
      </c>
      <c r="AL178" s="15">
        <f>IF(AJ177="",0,VAR(AJ$10:AJ178))</f>
        <v>0</v>
      </c>
      <c r="AN178" s="2"/>
      <c r="AO178" s="15" t="str">
        <f t="shared" si="76"/>
        <v/>
      </c>
      <c r="AP178" s="15">
        <f>IF(AO178="",0,AVERAGE(AO$10:AO178))</f>
        <v>0</v>
      </c>
      <c r="AQ178" s="15">
        <f>IF(AO177="",0,VAR(AO$10:AO178))</f>
        <v>0</v>
      </c>
      <c r="AS178" s="2"/>
      <c r="AT178" s="15" t="str">
        <f t="shared" si="77"/>
        <v/>
      </c>
      <c r="AU178" s="15">
        <f>IF(AT178="",0,AVERAGE(AT$10:AT178))</f>
        <v>0</v>
      </c>
      <c r="AV178" s="15">
        <f>IF(AT177="",0,VAR(AT$10:AT178))</f>
        <v>0</v>
      </c>
      <c r="AX178" s="2"/>
      <c r="AY178" s="15" t="str">
        <f t="shared" si="78"/>
        <v/>
      </c>
      <c r="AZ178" s="15">
        <f>IF(AY178="",0,AVERAGE(AY$10:AY178))</f>
        <v>0</v>
      </c>
      <c r="BA178" s="15">
        <f>IF(AY177="",0,VAR(AY$10:AY178))</f>
        <v>0</v>
      </c>
    </row>
    <row r="179" spans="3:53" x14ac:dyDescent="0.25">
      <c r="C179" s="2"/>
      <c r="E179" s="2"/>
      <c r="F179" s="15" t="str">
        <f t="shared" si="71"/>
        <v/>
      </c>
      <c r="G179" s="15">
        <f>IF(F179="",0,AVERAGE($F$10:F179))</f>
        <v>0</v>
      </c>
      <c r="H179" s="15">
        <f>IF(F178="",0,VAR($F$10:F179))</f>
        <v>0</v>
      </c>
      <c r="J179" s="2"/>
      <c r="K179" s="15" t="str">
        <f t="shared" si="72"/>
        <v/>
      </c>
      <c r="L179" s="15">
        <f>IF(K179="",0,AVERAGE($K$10:K179))</f>
        <v>0</v>
      </c>
      <c r="M179" s="15">
        <f>IF(K178="",0,VAR($K$10:K179))</f>
        <v>0</v>
      </c>
      <c r="O179" s="2"/>
      <c r="P179" s="15" t="str">
        <f t="shared" si="73"/>
        <v/>
      </c>
      <c r="Q179" s="15">
        <f>IF(P179="",0,AVERAGE(P$10:P179))</f>
        <v>0</v>
      </c>
      <c r="R179" s="15">
        <f>IF(P178="",0,VAR(P$10:P179))</f>
        <v>0</v>
      </c>
      <c r="T179" s="2"/>
      <c r="U179" s="15" t="str">
        <f t="shared" si="80"/>
        <v/>
      </c>
      <c r="V179" s="15">
        <f>IF(U179="",0,AVERAGE(U$10:U179))</f>
        <v>0</v>
      </c>
      <c r="W179" s="15">
        <f>IF(U178="",0,VAR(U$10:U179))</f>
        <v>0</v>
      </c>
      <c r="Y179" s="2"/>
      <c r="Z179" s="15" t="str">
        <f t="shared" si="74"/>
        <v/>
      </c>
      <c r="AA179" s="15">
        <f>IF(Z179="",0,AVERAGE(Z$10:Z179))</f>
        <v>0</v>
      </c>
      <c r="AB179" s="15">
        <f>IF(Z178="",0,VAR(Z$10:Z179))</f>
        <v>0</v>
      </c>
      <c r="AD179" s="2"/>
      <c r="AE179" s="15" t="str">
        <f t="shared" si="81"/>
        <v/>
      </c>
      <c r="AF179" s="15">
        <f>IF(AE179="",0,AVERAGE(AE$10:AE179))</f>
        <v>0</v>
      </c>
      <c r="AG179" s="15">
        <f>IF(AE178="",0,VAR(AE$10:AE179))</f>
        <v>0</v>
      </c>
      <c r="AI179" s="2"/>
      <c r="AJ179" s="15" t="str">
        <f t="shared" si="75"/>
        <v/>
      </c>
      <c r="AK179" s="15">
        <f>IF(AJ179="",0,AVERAGE(AJ$10:AJ179))</f>
        <v>0</v>
      </c>
      <c r="AL179" s="15">
        <f>IF(AJ178="",0,VAR(AJ$10:AJ179))</f>
        <v>0</v>
      </c>
      <c r="AN179" s="2"/>
      <c r="AO179" s="15" t="str">
        <f t="shared" si="76"/>
        <v/>
      </c>
      <c r="AP179" s="15">
        <f>IF(AO179="",0,AVERAGE(AO$10:AO179))</f>
        <v>0</v>
      </c>
      <c r="AQ179" s="15">
        <f>IF(AO178="",0,VAR(AO$10:AO179))</f>
        <v>0</v>
      </c>
      <c r="AS179" s="2"/>
      <c r="AT179" s="15" t="str">
        <f t="shared" si="77"/>
        <v/>
      </c>
      <c r="AU179" s="15">
        <f>IF(AT179="",0,AVERAGE(AT$10:AT179))</f>
        <v>0</v>
      </c>
      <c r="AV179" s="15">
        <f>IF(AT178="",0,VAR(AT$10:AT179))</f>
        <v>0</v>
      </c>
      <c r="AX179" s="2"/>
      <c r="AY179" s="15" t="str">
        <f t="shared" si="78"/>
        <v/>
      </c>
      <c r="AZ179" s="15">
        <f>IF(AY179="",0,AVERAGE(AY$10:AY179))</f>
        <v>0</v>
      </c>
      <c r="BA179" s="15">
        <f>IF(AY178="",0,VAR(AY$10:AY179))</f>
        <v>0</v>
      </c>
    </row>
    <row r="180" spans="3:53" x14ac:dyDescent="0.25">
      <c r="C180" s="2"/>
      <c r="E180" s="2"/>
      <c r="F180" s="15"/>
      <c r="G180" s="15">
        <f>IF(F180="",0,AVERAGE($F$10:F180))</f>
        <v>0</v>
      </c>
      <c r="H180" s="15">
        <f>IF(F179="",0,VAR($F$10:F180))</f>
        <v>0</v>
      </c>
      <c r="J180" s="2"/>
      <c r="K180" s="15" t="str">
        <f t="shared" si="72"/>
        <v/>
      </c>
      <c r="L180" s="15">
        <f>IF(K180="",0,AVERAGE($K$10:K180))</f>
        <v>0</v>
      </c>
      <c r="M180" s="15">
        <f>IF(K179="",0,VAR($K$10:K180))</f>
        <v>0</v>
      </c>
      <c r="O180" s="2"/>
      <c r="P180" s="15" t="str">
        <f t="shared" si="73"/>
        <v/>
      </c>
      <c r="Q180" s="15">
        <f>IF(P180="",0,AVERAGE(P$10:P180))</f>
        <v>0</v>
      </c>
      <c r="R180" s="15">
        <f>IF(P179="",0,VAR(P$10:P180))</f>
        <v>0</v>
      </c>
      <c r="T180" s="2"/>
      <c r="U180" s="15" t="str">
        <f t="shared" si="80"/>
        <v/>
      </c>
      <c r="V180" s="15">
        <f>IF(U180="",0,AVERAGE(U$10:U180))</f>
        <v>0</v>
      </c>
      <c r="W180" s="15">
        <f>IF(U179="",0,VAR(U$10:U180))</f>
        <v>0</v>
      </c>
      <c r="Y180" s="2"/>
      <c r="Z180" s="15" t="str">
        <f t="shared" si="74"/>
        <v/>
      </c>
      <c r="AA180" s="15">
        <f>IF(Z180="",0,AVERAGE(Z$10:Z180))</f>
        <v>0</v>
      </c>
      <c r="AB180" s="15">
        <f>IF(Z179="",0,VAR(Z$10:Z180))</f>
        <v>0</v>
      </c>
      <c r="AD180" s="2"/>
      <c r="AE180" s="15" t="str">
        <f t="shared" si="81"/>
        <v/>
      </c>
      <c r="AF180" s="15">
        <f>IF(AE180="",0,AVERAGE(AE$10:AE180))</f>
        <v>0</v>
      </c>
      <c r="AG180" s="15">
        <f>IF(AE179="",0,VAR(AE$10:AE180))</f>
        <v>0</v>
      </c>
      <c r="AI180" s="2"/>
      <c r="AJ180" s="15" t="str">
        <f t="shared" si="75"/>
        <v/>
      </c>
      <c r="AK180" s="15">
        <f>IF(AJ180="",0,AVERAGE(AJ$10:AJ180))</f>
        <v>0</v>
      </c>
      <c r="AL180" s="15">
        <f>IF(AJ179="",0,VAR(AJ$10:AJ180))</f>
        <v>0</v>
      </c>
      <c r="AN180" s="2"/>
      <c r="AO180" s="15" t="str">
        <f t="shared" si="76"/>
        <v/>
      </c>
      <c r="AP180" s="15">
        <f>IF(AO180="",0,AVERAGE(AO$10:AO180))</f>
        <v>0</v>
      </c>
      <c r="AQ180" s="15">
        <f>IF(AO179="",0,VAR(AO$10:AO180))</f>
        <v>0</v>
      </c>
      <c r="AS180" s="2"/>
      <c r="AT180" s="15" t="str">
        <f t="shared" si="77"/>
        <v/>
      </c>
      <c r="AU180" s="15">
        <f>IF(AT180="",0,AVERAGE(AT$10:AT180))</f>
        <v>0</v>
      </c>
      <c r="AV180" s="15">
        <f>IF(AT179="",0,VAR(AT$10:AT180))</f>
        <v>0</v>
      </c>
      <c r="AX180" s="2"/>
      <c r="AY180" s="15" t="str">
        <f t="shared" si="78"/>
        <v/>
      </c>
      <c r="AZ180" s="15">
        <f>IF(AY180="",0,AVERAGE(AY$10:AY180))</f>
        <v>0</v>
      </c>
      <c r="BA180" s="15">
        <f>IF(AY179="",0,VAR(AY$10:AY180))</f>
        <v>0</v>
      </c>
    </row>
    <row r="181" spans="3:53" x14ac:dyDescent="0.25">
      <c r="C181" s="2"/>
      <c r="E181" s="2"/>
      <c r="F181" s="15" t="str">
        <f t="shared" ref="F181" si="94">IF(E181="","",+(E181-E180)/E180)</f>
        <v/>
      </c>
      <c r="G181" s="15">
        <f>IF(F181="",0,AVERAGE($F$10:F181))</f>
        <v>0</v>
      </c>
      <c r="H181" s="15">
        <f>IF(F180="",0,VAR($F$10:F181))</f>
        <v>0</v>
      </c>
      <c r="J181" s="2"/>
      <c r="K181" s="15" t="str">
        <f t="shared" si="72"/>
        <v/>
      </c>
      <c r="L181" s="15">
        <f>IF(K181="",0,AVERAGE($K$10:K181))</f>
        <v>0</v>
      </c>
      <c r="M181" s="15">
        <f>IF(K180="",0,VAR($K$10:K181))</f>
        <v>0</v>
      </c>
      <c r="O181" s="2"/>
      <c r="P181" s="15" t="str">
        <f t="shared" si="73"/>
        <v/>
      </c>
      <c r="Q181" s="15">
        <f>IF(P181="",0,AVERAGE(P$10:P181))</f>
        <v>0</v>
      </c>
      <c r="R181" s="15">
        <f>IF(P180="",0,VAR(P$10:P181))</f>
        <v>0</v>
      </c>
      <c r="T181" s="2"/>
      <c r="U181" s="15" t="str">
        <f t="shared" si="80"/>
        <v/>
      </c>
      <c r="V181" s="15">
        <f>IF(U181="",0,AVERAGE(U$10:U181))</f>
        <v>0</v>
      </c>
      <c r="W181" s="15">
        <f>IF(U180="",0,VAR(U$10:U181))</f>
        <v>0</v>
      </c>
      <c r="Y181" s="2"/>
      <c r="Z181" s="15" t="str">
        <f t="shared" si="74"/>
        <v/>
      </c>
      <c r="AA181" s="15">
        <f>IF(Z181="",0,AVERAGE(Z$10:Z181))</f>
        <v>0</v>
      </c>
      <c r="AB181" s="15">
        <f>IF(Z180="",0,VAR(Z$10:Z181))</f>
        <v>0</v>
      </c>
      <c r="AD181" s="2"/>
      <c r="AE181" s="15" t="str">
        <f t="shared" si="81"/>
        <v/>
      </c>
      <c r="AF181" s="15">
        <f>IF(AE181="",0,AVERAGE(AE$10:AE181))</f>
        <v>0</v>
      </c>
      <c r="AG181" s="15">
        <f>IF(AE180="",0,VAR(AE$10:AE181))</f>
        <v>0</v>
      </c>
      <c r="AI181" s="2"/>
      <c r="AJ181" s="15" t="str">
        <f t="shared" si="75"/>
        <v/>
      </c>
      <c r="AK181" s="15">
        <f>IF(AJ181="",0,AVERAGE(AJ$10:AJ181))</f>
        <v>0</v>
      </c>
      <c r="AL181" s="15">
        <f>IF(AJ180="",0,VAR(AJ$10:AJ181))</f>
        <v>0</v>
      </c>
      <c r="AN181" s="2"/>
      <c r="AO181" s="15" t="str">
        <f t="shared" si="76"/>
        <v/>
      </c>
      <c r="AP181" s="15">
        <f>IF(AO181="",0,AVERAGE(AO$10:AO181))</f>
        <v>0</v>
      </c>
      <c r="AQ181" s="15">
        <f>IF(AO180="",0,VAR(AO$10:AO181))</f>
        <v>0</v>
      </c>
      <c r="AS181" s="2"/>
      <c r="AT181" s="15" t="str">
        <f t="shared" si="77"/>
        <v/>
      </c>
      <c r="AU181" s="15">
        <f>IF(AT181="",0,AVERAGE(AT$10:AT181))</f>
        <v>0</v>
      </c>
      <c r="AV181" s="15">
        <f>IF(AT180="",0,VAR(AT$10:AT181))</f>
        <v>0</v>
      </c>
      <c r="AX181" s="2"/>
      <c r="AY181" s="15" t="str">
        <f t="shared" si="78"/>
        <v/>
      </c>
      <c r="AZ181" s="15">
        <f>IF(AY181="",0,AVERAGE(AY$10:AY181))</f>
        <v>0</v>
      </c>
      <c r="BA181" s="15">
        <f>IF(AY180="",0,VAR(AY$10:AY181))</f>
        <v>0</v>
      </c>
    </row>
    <row r="182" spans="3:53" x14ac:dyDescent="0.25">
      <c r="C182" s="2"/>
      <c r="E182" s="2"/>
      <c r="F182" s="15" t="str">
        <f t="shared" si="71"/>
        <v/>
      </c>
      <c r="G182" s="15">
        <f>IF(F182="",0,AVERAGE($F$10:F182))</f>
        <v>0</v>
      </c>
      <c r="H182" s="15">
        <f>IF(F181="",0,VAR($F$10:F182))</f>
        <v>0</v>
      </c>
      <c r="J182" s="2"/>
      <c r="K182" s="15" t="str">
        <f t="shared" si="72"/>
        <v/>
      </c>
      <c r="L182" s="15">
        <f>IF(K182="",0,AVERAGE($K$10:K182))</f>
        <v>0</v>
      </c>
      <c r="M182" s="15">
        <f>IF(K181="",0,VAR($K$10:K182))</f>
        <v>0</v>
      </c>
      <c r="O182" s="2"/>
      <c r="P182" s="15" t="str">
        <f t="shared" si="73"/>
        <v/>
      </c>
      <c r="Q182" s="15">
        <f>IF(P182="",0,AVERAGE(P$10:P182))</f>
        <v>0</v>
      </c>
      <c r="R182" s="15">
        <f>IF(P181="",0,VAR(P$10:P182))</f>
        <v>0</v>
      </c>
      <c r="T182" s="2"/>
      <c r="U182" s="15" t="str">
        <f t="shared" si="80"/>
        <v/>
      </c>
      <c r="V182" s="15">
        <f>IF(U182="",0,AVERAGE(U$10:U182))</f>
        <v>0</v>
      </c>
      <c r="W182" s="15">
        <f>IF(U181="",0,VAR(U$10:U182))</f>
        <v>0</v>
      </c>
      <c r="Y182" s="2"/>
      <c r="Z182" s="15" t="str">
        <f t="shared" si="74"/>
        <v/>
      </c>
      <c r="AA182" s="15">
        <f>IF(Z182="",0,AVERAGE(Z$10:Z182))</f>
        <v>0</v>
      </c>
      <c r="AB182" s="15">
        <f>IF(Z181="",0,VAR(Z$10:Z182))</f>
        <v>0</v>
      </c>
      <c r="AD182" s="2"/>
      <c r="AE182" s="15" t="str">
        <f t="shared" si="81"/>
        <v/>
      </c>
      <c r="AF182" s="15">
        <f>IF(AE182="",0,AVERAGE(AE$10:AE182))</f>
        <v>0</v>
      </c>
      <c r="AG182" s="15">
        <f>IF(AE181="",0,VAR(AE$10:AE182))</f>
        <v>0</v>
      </c>
      <c r="AI182" s="2"/>
      <c r="AJ182" s="15" t="str">
        <f t="shared" si="75"/>
        <v/>
      </c>
      <c r="AK182" s="15">
        <f>IF(AJ182="",0,AVERAGE(AJ$10:AJ182))</f>
        <v>0</v>
      </c>
      <c r="AL182" s="15">
        <f>IF(AJ181="",0,VAR(AJ$10:AJ182))</f>
        <v>0</v>
      </c>
      <c r="AN182" s="2"/>
      <c r="AO182" s="15" t="str">
        <f t="shared" si="76"/>
        <v/>
      </c>
      <c r="AP182" s="15">
        <f>IF(AO182="",0,AVERAGE(AO$10:AO182))</f>
        <v>0</v>
      </c>
      <c r="AQ182" s="15">
        <f>IF(AO181="",0,VAR(AO$10:AO182))</f>
        <v>0</v>
      </c>
      <c r="AS182" s="2"/>
      <c r="AT182" s="15" t="str">
        <f t="shared" si="77"/>
        <v/>
      </c>
      <c r="AU182" s="15">
        <f>IF(AT182="",0,AVERAGE(AT$10:AT182))</f>
        <v>0</v>
      </c>
      <c r="AV182" s="15">
        <f>IF(AT181="",0,VAR(AT$10:AT182))</f>
        <v>0</v>
      </c>
      <c r="AX182" s="2"/>
      <c r="AY182" s="15" t="str">
        <f t="shared" si="78"/>
        <v/>
      </c>
      <c r="AZ182" s="15">
        <f>IF(AY182="",0,AVERAGE(AY$10:AY182))</f>
        <v>0</v>
      </c>
      <c r="BA182" s="15">
        <f>IF(AY181="",0,VAR(AY$10:AY182))</f>
        <v>0</v>
      </c>
    </row>
    <row r="183" spans="3:53" x14ac:dyDescent="0.25">
      <c r="C183" s="2"/>
      <c r="E183" s="2"/>
      <c r="F183" s="15"/>
      <c r="G183" s="15">
        <f>IF(F183="",0,AVERAGE($F$10:F183))</f>
        <v>0</v>
      </c>
      <c r="H183" s="15">
        <f>IF(F182="",0,VAR($F$10:F183))</f>
        <v>0</v>
      </c>
      <c r="J183" s="2"/>
      <c r="K183" s="15" t="str">
        <f t="shared" si="72"/>
        <v/>
      </c>
      <c r="L183" s="15">
        <f>IF(K183="",0,AVERAGE($K$10:K183))</f>
        <v>0</v>
      </c>
      <c r="M183" s="15">
        <f>IF(K182="",0,VAR($K$10:K183))</f>
        <v>0</v>
      </c>
      <c r="O183" s="2"/>
      <c r="P183" s="15" t="str">
        <f t="shared" si="73"/>
        <v/>
      </c>
      <c r="Q183" s="15">
        <f>IF(P183="",0,AVERAGE(P$10:P183))</f>
        <v>0</v>
      </c>
      <c r="R183" s="15">
        <f>IF(P182="",0,VAR(P$10:P183))</f>
        <v>0</v>
      </c>
      <c r="T183" s="2"/>
      <c r="U183" s="15" t="str">
        <f t="shared" si="80"/>
        <v/>
      </c>
      <c r="V183" s="15">
        <f>IF(U183="",0,AVERAGE(U$10:U183))</f>
        <v>0</v>
      </c>
      <c r="W183" s="15">
        <f>IF(U182="",0,VAR(U$10:U183))</f>
        <v>0</v>
      </c>
      <c r="Y183" s="2"/>
      <c r="Z183" s="15" t="str">
        <f t="shared" si="74"/>
        <v/>
      </c>
      <c r="AA183" s="15">
        <f>IF(Z183="",0,AVERAGE(Z$10:Z183))</f>
        <v>0</v>
      </c>
      <c r="AB183" s="15">
        <f>IF(Z182="",0,VAR(Z$10:Z183))</f>
        <v>0</v>
      </c>
      <c r="AD183" s="2"/>
      <c r="AE183" s="15" t="str">
        <f t="shared" si="81"/>
        <v/>
      </c>
      <c r="AF183" s="15">
        <f>IF(AE183="",0,AVERAGE(AE$10:AE183))</f>
        <v>0</v>
      </c>
      <c r="AG183" s="15">
        <f>IF(AE182="",0,VAR(AE$10:AE183))</f>
        <v>0</v>
      </c>
      <c r="AI183" s="2"/>
      <c r="AJ183" s="15" t="str">
        <f t="shared" si="75"/>
        <v/>
      </c>
      <c r="AK183" s="15">
        <f>IF(AJ183="",0,AVERAGE(AJ$10:AJ183))</f>
        <v>0</v>
      </c>
      <c r="AL183" s="15">
        <f>IF(AJ182="",0,VAR(AJ$10:AJ183))</f>
        <v>0</v>
      </c>
      <c r="AN183" s="2"/>
      <c r="AO183" s="15" t="str">
        <f t="shared" si="76"/>
        <v/>
      </c>
      <c r="AP183" s="15">
        <f>IF(AO183="",0,AVERAGE(AO$10:AO183))</f>
        <v>0</v>
      </c>
      <c r="AQ183" s="15">
        <f>IF(AO182="",0,VAR(AO$10:AO183))</f>
        <v>0</v>
      </c>
      <c r="AS183" s="2"/>
      <c r="AT183" s="15" t="str">
        <f t="shared" si="77"/>
        <v/>
      </c>
      <c r="AU183" s="15">
        <f>IF(AT183="",0,AVERAGE(AT$10:AT183))</f>
        <v>0</v>
      </c>
      <c r="AV183" s="15">
        <f>IF(AT182="",0,VAR(AT$10:AT183))</f>
        <v>0</v>
      </c>
      <c r="AX183" s="2"/>
      <c r="AY183" s="15" t="str">
        <f t="shared" si="78"/>
        <v/>
      </c>
      <c r="AZ183" s="15">
        <f>IF(AY183="",0,AVERAGE(AY$10:AY183))</f>
        <v>0</v>
      </c>
      <c r="BA183" s="15">
        <f>IF(AY182="",0,VAR(AY$10:AY183))</f>
        <v>0</v>
      </c>
    </row>
    <row r="184" spans="3:53" x14ac:dyDescent="0.25">
      <c r="C184" s="2"/>
      <c r="E184" s="2"/>
      <c r="F184" s="15" t="str">
        <f t="shared" ref="F184" si="95">IF(E184="","",+(E184-E183)/E183)</f>
        <v/>
      </c>
      <c r="G184" s="15">
        <f>IF(F184="",0,AVERAGE($F$10:F184))</f>
        <v>0</v>
      </c>
      <c r="H184" s="15">
        <f>IF(F183="",0,VAR($F$10:F184))</f>
        <v>0</v>
      </c>
      <c r="J184" s="2"/>
      <c r="K184" s="15" t="str">
        <f t="shared" si="72"/>
        <v/>
      </c>
      <c r="L184" s="15">
        <f>IF(K184="",0,AVERAGE($K$10:K184))</f>
        <v>0</v>
      </c>
      <c r="M184" s="15">
        <f>IF(K183="",0,VAR($K$10:K184))</f>
        <v>0</v>
      </c>
      <c r="O184" s="2"/>
      <c r="P184" s="15" t="str">
        <f t="shared" si="73"/>
        <v/>
      </c>
      <c r="Q184" s="15">
        <f>IF(P184="",0,AVERAGE(P$10:P184))</f>
        <v>0</v>
      </c>
      <c r="R184" s="15">
        <f>IF(P183="",0,VAR(P$10:P184))</f>
        <v>0</v>
      </c>
      <c r="T184" s="2"/>
      <c r="U184" s="15" t="str">
        <f t="shared" si="80"/>
        <v/>
      </c>
      <c r="V184" s="15">
        <f>IF(U184="",0,AVERAGE(U$10:U184))</f>
        <v>0</v>
      </c>
      <c r="W184" s="15">
        <f>IF(U183="",0,VAR(U$10:U184))</f>
        <v>0</v>
      </c>
      <c r="Y184" s="2"/>
      <c r="Z184" s="15" t="str">
        <f t="shared" si="74"/>
        <v/>
      </c>
      <c r="AA184" s="15">
        <f>IF(Z184="",0,AVERAGE(Z$10:Z184))</f>
        <v>0</v>
      </c>
      <c r="AB184" s="15">
        <f>IF(Z183="",0,VAR(Z$10:Z184))</f>
        <v>0</v>
      </c>
      <c r="AD184" s="2"/>
      <c r="AE184" s="15" t="str">
        <f t="shared" si="81"/>
        <v/>
      </c>
      <c r="AF184" s="15">
        <f>IF(AE184="",0,AVERAGE(AE$10:AE184))</f>
        <v>0</v>
      </c>
      <c r="AG184" s="15">
        <f>IF(AE183="",0,VAR(AE$10:AE184))</f>
        <v>0</v>
      </c>
      <c r="AI184" s="2"/>
      <c r="AJ184" s="15" t="str">
        <f t="shared" si="75"/>
        <v/>
      </c>
      <c r="AK184" s="15">
        <f>IF(AJ184="",0,AVERAGE(AJ$10:AJ184))</f>
        <v>0</v>
      </c>
      <c r="AL184" s="15">
        <f>IF(AJ183="",0,VAR(AJ$10:AJ184))</f>
        <v>0</v>
      </c>
      <c r="AN184" s="2"/>
      <c r="AO184" s="15" t="str">
        <f t="shared" si="76"/>
        <v/>
      </c>
      <c r="AP184" s="15">
        <f>IF(AO184="",0,AVERAGE(AO$10:AO184))</f>
        <v>0</v>
      </c>
      <c r="AQ184" s="15">
        <f>IF(AO183="",0,VAR(AO$10:AO184))</f>
        <v>0</v>
      </c>
      <c r="AS184" s="2"/>
      <c r="AT184" s="15" t="str">
        <f t="shared" si="77"/>
        <v/>
      </c>
      <c r="AU184" s="15">
        <f>IF(AT184="",0,AVERAGE(AT$10:AT184))</f>
        <v>0</v>
      </c>
      <c r="AV184" s="15">
        <f>IF(AT183="",0,VAR(AT$10:AT184))</f>
        <v>0</v>
      </c>
      <c r="AX184" s="2"/>
      <c r="AY184" s="15" t="str">
        <f t="shared" si="78"/>
        <v/>
      </c>
      <c r="AZ184" s="15">
        <f>IF(AY184="",0,AVERAGE(AY$10:AY184))</f>
        <v>0</v>
      </c>
      <c r="BA184" s="15">
        <f>IF(AY183="",0,VAR(AY$10:AY184))</f>
        <v>0</v>
      </c>
    </row>
    <row r="185" spans="3:53" x14ac:dyDescent="0.25">
      <c r="C185" s="2"/>
      <c r="E185" s="2"/>
      <c r="F185" s="15" t="str">
        <f t="shared" si="71"/>
        <v/>
      </c>
      <c r="G185" s="15">
        <f>IF(F185="",0,AVERAGE($F$10:F185))</f>
        <v>0</v>
      </c>
      <c r="H185" s="15">
        <f>IF(F184="",0,VAR($F$10:F185))</f>
        <v>0</v>
      </c>
      <c r="J185" s="2"/>
      <c r="K185" s="15" t="str">
        <f t="shared" si="72"/>
        <v/>
      </c>
      <c r="L185" s="15">
        <f>IF(K185="",0,AVERAGE($K$10:K185))</f>
        <v>0</v>
      </c>
      <c r="M185" s="15">
        <f>IF(K184="",0,VAR($K$10:K185))</f>
        <v>0</v>
      </c>
      <c r="O185" s="2"/>
      <c r="P185" s="15" t="str">
        <f t="shared" si="73"/>
        <v/>
      </c>
      <c r="Q185" s="15">
        <f>IF(P185="",0,AVERAGE(P$10:P185))</f>
        <v>0</v>
      </c>
      <c r="R185" s="15">
        <f>IF(P184="",0,VAR(P$10:P185))</f>
        <v>0</v>
      </c>
      <c r="T185" s="2"/>
      <c r="U185" s="15" t="str">
        <f t="shared" si="80"/>
        <v/>
      </c>
      <c r="V185" s="15">
        <f>IF(U185="",0,AVERAGE(U$10:U185))</f>
        <v>0</v>
      </c>
      <c r="W185" s="15">
        <f>IF(U184="",0,VAR(U$10:U185))</f>
        <v>0</v>
      </c>
      <c r="Y185" s="2"/>
      <c r="Z185" s="15" t="str">
        <f t="shared" si="74"/>
        <v/>
      </c>
      <c r="AA185" s="15">
        <f>IF(Z185="",0,AVERAGE(Z$10:Z185))</f>
        <v>0</v>
      </c>
      <c r="AB185" s="15">
        <f>IF(Z184="",0,VAR(Z$10:Z185))</f>
        <v>0</v>
      </c>
      <c r="AD185" s="2"/>
      <c r="AE185" s="15" t="str">
        <f t="shared" si="81"/>
        <v/>
      </c>
      <c r="AF185" s="15">
        <f>IF(AE185="",0,AVERAGE(AE$10:AE185))</f>
        <v>0</v>
      </c>
      <c r="AG185" s="15">
        <f>IF(AE184="",0,VAR(AE$10:AE185))</f>
        <v>0</v>
      </c>
      <c r="AI185" s="2"/>
      <c r="AJ185" s="15" t="str">
        <f t="shared" si="75"/>
        <v/>
      </c>
      <c r="AK185" s="15">
        <f>IF(AJ185="",0,AVERAGE(AJ$10:AJ185))</f>
        <v>0</v>
      </c>
      <c r="AL185" s="15">
        <f>IF(AJ184="",0,VAR(AJ$10:AJ185))</f>
        <v>0</v>
      </c>
      <c r="AN185" s="2"/>
      <c r="AO185" s="15" t="str">
        <f t="shared" si="76"/>
        <v/>
      </c>
      <c r="AP185" s="15">
        <f>IF(AO185="",0,AVERAGE(AO$10:AO185))</f>
        <v>0</v>
      </c>
      <c r="AQ185" s="15">
        <f>IF(AO184="",0,VAR(AO$10:AO185))</f>
        <v>0</v>
      </c>
      <c r="AS185" s="2"/>
      <c r="AT185" s="15" t="str">
        <f t="shared" si="77"/>
        <v/>
      </c>
      <c r="AU185" s="15">
        <f>IF(AT185="",0,AVERAGE(AT$10:AT185))</f>
        <v>0</v>
      </c>
      <c r="AV185" s="15">
        <f>IF(AT184="",0,VAR(AT$10:AT185))</f>
        <v>0</v>
      </c>
      <c r="AX185" s="2"/>
      <c r="AY185" s="15" t="str">
        <f t="shared" si="78"/>
        <v/>
      </c>
      <c r="AZ185" s="15">
        <f>IF(AY185="",0,AVERAGE(AY$10:AY185))</f>
        <v>0</v>
      </c>
      <c r="BA185" s="15">
        <f>IF(AY184="",0,VAR(AY$10:AY185))</f>
        <v>0</v>
      </c>
    </row>
    <row r="186" spans="3:53" x14ac:dyDescent="0.25">
      <c r="C186" s="2"/>
      <c r="E186" s="2"/>
      <c r="F186" s="15"/>
      <c r="G186" s="15">
        <f>IF(F186="",0,AVERAGE($F$10:F186))</f>
        <v>0</v>
      </c>
      <c r="H186" s="15">
        <f>IF(F185="",0,VAR($F$10:F186))</f>
        <v>0</v>
      </c>
      <c r="J186" s="2"/>
      <c r="K186" s="15" t="str">
        <f t="shared" si="72"/>
        <v/>
      </c>
      <c r="L186" s="15">
        <f>IF(K186="",0,AVERAGE($K$10:K186))</f>
        <v>0</v>
      </c>
      <c r="M186" s="15">
        <f>IF(K185="",0,VAR($K$10:K186))</f>
        <v>0</v>
      </c>
      <c r="O186" s="2"/>
      <c r="P186" s="15" t="str">
        <f t="shared" si="73"/>
        <v/>
      </c>
      <c r="Q186" s="15">
        <f>IF(P186="",0,AVERAGE(P$10:P186))</f>
        <v>0</v>
      </c>
      <c r="R186" s="15">
        <f>IF(P185="",0,VAR(P$10:P186))</f>
        <v>0</v>
      </c>
      <c r="T186" s="2"/>
      <c r="U186" s="15" t="str">
        <f t="shared" si="80"/>
        <v/>
      </c>
      <c r="V186" s="15">
        <f>IF(U186="",0,AVERAGE(U$10:U186))</f>
        <v>0</v>
      </c>
      <c r="W186" s="15">
        <f>IF(U185="",0,VAR(U$10:U186))</f>
        <v>0</v>
      </c>
      <c r="Y186" s="2"/>
      <c r="Z186" s="15" t="str">
        <f t="shared" si="74"/>
        <v/>
      </c>
      <c r="AA186" s="15">
        <f>IF(Z186="",0,AVERAGE(Z$10:Z186))</f>
        <v>0</v>
      </c>
      <c r="AB186" s="15">
        <f>IF(Z185="",0,VAR(Z$10:Z186))</f>
        <v>0</v>
      </c>
      <c r="AD186" s="2"/>
      <c r="AE186" s="15" t="str">
        <f t="shared" si="81"/>
        <v/>
      </c>
      <c r="AF186" s="15">
        <f>IF(AE186="",0,AVERAGE(AE$10:AE186))</f>
        <v>0</v>
      </c>
      <c r="AG186" s="15">
        <f>IF(AE185="",0,VAR(AE$10:AE186))</f>
        <v>0</v>
      </c>
      <c r="AI186" s="2"/>
      <c r="AJ186" s="15" t="str">
        <f t="shared" si="75"/>
        <v/>
      </c>
      <c r="AK186" s="15">
        <f>IF(AJ186="",0,AVERAGE(AJ$10:AJ186))</f>
        <v>0</v>
      </c>
      <c r="AL186" s="15">
        <f>IF(AJ185="",0,VAR(AJ$10:AJ186))</f>
        <v>0</v>
      </c>
      <c r="AN186" s="2"/>
      <c r="AO186" s="15" t="str">
        <f t="shared" si="76"/>
        <v/>
      </c>
      <c r="AP186" s="15">
        <f>IF(AO186="",0,AVERAGE(AO$10:AO186))</f>
        <v>0</v>
      </c>
      <c r="AQ186" s="15">
        <f>IF(AO185="",0,VAR(AO$10:AO186))</f>
        <v>0</v>
      </c>
      <c r="AS186" s="2"/>
      <c r="AT186" s="15" t="str">
        <f t="shared" si="77"/>
        <v/>
      </c>
      <c r="AU186" s="15">
        <f>IF(AT186="",0,AVERAGE(AT$10:AT186))</f>
        <v>0</v>
      </c>
      <c r="AV186" s="15">
        <f>IF(AT185="",0,VAR(AT$10:AT186))</f>
        <v>0</v>
      </c>
      <c r="AX186" s="2"/>
      <c r="AY186" s="15" t="str">
        <f t="shared" si="78"/>
        <v/>
      </c>
      <c r="AZ186" s="15">
        <f>IF(AY186="",0,AVERAGE(AY$10:AY186))</f>
        <v>0</v>
      </c>
      <c r="BA186" s="15">
        <f>IF(AY185="",0,VAR(AY$10:AY186))</f>
        <v>0</v>
      </c>
    </row>
    <row r="187" spans="3:53" x14ac:dyDescent="0.25">
      <c r="C187" s="2"/>
      <c r="E187" s="2"/>
      <c r="F187" s="15" t="str">
        <f t="shared" ref="F187" si="96">IF(E187="","",+(E187-E186)/E186)</f>
        <v/>
      </c>
      <c r="G187" s="15">
        <f>IF(F187="",0,AVERAGE($F$10:F187))</f>
        <v>0</v>
      </c>
      <c r="H187" s="15">
        <f>IF(F186="",0,VAR($F$10:F187))</f>
        <v>0</v>
      </c>
      <c r="J187" s="2"/>
      <c r="K187" s="15" t="str">
        <f t="shared" si="72"/>
        <v/>
      </c>
      <c r="L187" s="15">
        <f>IF(K187="",0,AVERAGE($K$10:K187))</f>
        <v>0</v>
      </c>
      <c r="M187" s="15">
        <f>IF(K186="",0,VAR($K$10:K187))</f>
        <v>0</v>
      </c>
      <c r="O187" s="2"/>
      <c r="P187" s="15" t="str">
        <f t="shared" si="73"/>
        <v/>
      </c>
      <c r="Q187" s="15">
        <f>IF(P187="",0,AVERAGE(P$10:P187))</f>
        <v>0</v>
      </c>
      <c r="R187" s="15">
        <f>IF(P186="",0,VAR(P$10:P187))</f>
        <v>0</v>
      </c>
      <c r="T187" s="2"/>
      <c r="U187" s="15" t="str">
        <f t="shared" si="80"/>
        <v/>
      </c>
      <c r="V187" s="15">
        <f>IF(U187="",0,AVERAGE(U$10:U187))</f>
        <v>0</v>
      </c>
      <c r="W187" s="15">
        <f>IF(U186="",0,VAR(U$10:U187))</f>
        <v>0</v>
      </c>
      <c r="Y187" s="2"/>
      <c r="Z187" s="15" t="str">
        <f t="shared" si="74"/>
        <v/>
      </c>
      <c r="AA187" s="15">
        <f>IF(Z187="",0,AVERAGE(Z$10:Z187))</f>
        <v>0</v>
      </c>
      <c r="AB187" s="15">
        <f>IF(Z186="",0,VAR(Z$10:Z187))</f>
        <v>0</v>
      </c>
      <c r="AD187" s="2"/>
      <c r="AE187" s="15" t="str">
        <f t="shared" si="81"/>
        <v/>
      </c>
      <c r="AF187" s="15">
        <f>IF(AE187="",0,AVERAGE(AE$10:AE187))</f>
        <v>0</v>
      </c>
      <c r="AG187" s="15">
        <f>IF(AE186="",0,VAR(AE$10:AE187))</f>
        <v>0</v>
      </c>
      <c r="AI187" s="2"/>
      <c r="AJ187" s="15" t="str">
        <f t="shared" si="75"/>
        <v/>
      </c>
      <c r="AK187" s="15">
        <f>IF(AJ187="",0,AVERAGE(AJ$10:AJ187))</f>
        <v>0</v>
      </c>
      <c r="AL187" s="15">
        <f>IF(AJ186="",0,VAR(AJ$10:AJ187))</f>
        <v>0</v>
      </c>
      <c r="AN187" s="2"/>
      <c r="AO187" s="15" t="str">
        <f t="shared" si="76"/>
        <v/>
      </c>
      <c r="AP187" s="15">
        <f>IF(AO187="",0,AVERAGE(AO$10:AO187))</f>
        <v>0</v>
      </c>
      <c r="AQ187" s="15">
        <f>IF(AO186="",0,VAR(AO$10:AO187))</f>
        <v>0</v>
      </c>
      <c r="AS187" s="2"/>
      <c r="AT187" s="15" t="str">
        <f t="shared" si="77"/>
        <v/>
      </c>
      <c r="AU187" s="15">
        <f>IF(AT187="",0,AVERAGE(AT$10:AT187))</f>
        <v>0</v>
      </c>
      <c r="AV187" s="15">
        <f>IF(AT186="",0,VAR(AT$10:AT187))</f>
        <v>0</v>
      </c>
      <c r="AX187" s="2"/>
      <c r="AY187" s="15" t="str">
        <f t="shared" si="78"/>
        <v/>
      </c>
      <c r="AZ187" s="15">
        <f>IF(AY187="",0,AVERAGE(AY$10:AY187))</f>
        <v>0</v>
      </c>
      <c r="BA187" s="15">
        <f>IF(AY186="",0,VAR(AY$10:AY187))</f>
        <v>0</v>
      </c>
    </row>
    <row r="188" spans="3:53" x14ac:dyDescent="0.25">
      <c r="C188" s="2"/>
      <c r="E188" s="2"/>
      <c r="F188" s="15" t="str">
        <f t="shared" si="71"/>
        <v/>
      </c>
      <c r="G188" s="15">
        <f>IF(F188="",0,AVERAGE($F$10:F188))</f>
        <v>0</v>
      </c>
      <c r="H188" s="15">
        <f>IF(F187="",0,VAR($F$10:F188))</f>
        <v>0</v>
      </c>
      <c r="J188" s="2"/>
      <c r="K188" s="15" t="str">
        <f t="shared" si="72"/>
        <v/>
      </c>
      <c r="L188" s="15">
        <f>IF(K188="",0,AVERAGE($K$10:K188))</f>
        <v>0</v>
      </c>
      <c r="M188" s="15">
        <f>IF(K187="",0,VAR($K$10:K188))</f>
        <v>0</v>
      </c>
      <c r="O188" s="2"/>
      <c r="P188" s="15" t="str">
        <f t="shared" si="73"/>
        <v/>
      </c>
      <c r="Q188" s="15">
        <f>IF(P188="",0,AVERAGE(P$10:P188))</f>
        <v>0</v>
      </c>
      <c r="R188" s="15">
        <f>IF(P187="",0,VAR(P$10:P188))</f>
        <v>0</v>
      </c>
      <c r="T188" s="2"/>
      <c r="U188" s="15" t="str">
        <f t="shared" si="80"/>
        <v/>
      </c>
      <c r="V188" s="15">
        <f>IF(U188="",0,AVERAGE(U$10:U188))</f>
        <v>0</v>
      </c>
      <c r="W188" s="15">
        <f>IF(U187="",0,VAR(U$10:U188))</f>
        <v>0</v>
      </c>
      <c r="Y188" s="2"/>
      <c r="Z188" s="15" t="str">
        <f t="shared" si="74"/>
        <v/>
      </c>
      <c r="AA188" s="15">
        <f>IF(Z188="",0,AVERAGE(Z$10:Z188))</f>
        <v>0</v>
      </c>
      <c r="AB188" s="15">
        <f>IF(Z187="",0,VAR(Z$10:Z188))</f>
        <v>0</v>
      </c>
      <c r="AD188" s="2"/>
      <c r="AE188" s="15" t="str">
        <f t="shared" si="81"/>
        <v/>
      </c>
      <c r="AF188" s="15">
        <f>IF(AE188="",0,AVERAGE(AE$10:AE188))</f>
        <v>0</v>
      </c>
      <c r="AG188" s="15">
        <f>IF(AE187="",0,VAR(AE$10:AE188))</f>
        <v>0</v>
      </c>
      <c r="AI188" s="2"/>
      <c r="AJ188" s="15" t="str">
        <f t="shared" si="75"/>
        <v/>
      </c>
      <c r="AK188" s="15">
        <f>IF(AJ188="",0,AVERAGE(AJ$10:AJ188))</f>
        <v>0</v>
      </c>
      <c r="AL188" s="15">
        <f>IF(AJ187="",0,VAR(AJ$10:AJ188))</f>
        <v>0</v>
      </c>
      <c r="AN188" s="2"/>
      <c r="AO188" s="15" t="str">
        <f t="shared" si="76"/>
        <v/>
      </c>
      <c r="AP188" s="15">
        <f>IF(AO188="",0,AVERAGE(AO$10:AO188))</f>
        <v>0</v>
      </c>
      <c r="AQ188" s="15">
        <f>IF(AO187="",0,VAR(AO$10:AO188))</f>
        <v>0</v>
      </c>
      <c r="AS188" s="2"/>
      <c r="AT188" s="15" t="str">
        <f t="shared" si="77"/>
        <v/>
      </c>
      <c r="AU188" s="15">
        <f>IF(AT188="",0,AVERAGE(AT$10:AT188))</f>
        <v>0</v>
      </c>
      <c r="AV188" s="15">
        <f>IF(AT187="",0,VAR(AT$10:AT188))</f>
        <v>0</v>
      </c>
      <c r="AX188" s="2"/>
      <c r="AY188" s="15" t="str">
        <f t="shared" si="78"/>
        <v/>
      </c>
      <c r="AZ188" s="15">
        <f>IF(AY188="",0,AVERAGE(AY$10:AY188))</f>
        <v>0</v>
      </c>
      <c r="BA188" s="15">
        <f>IF(AY187="",0,VAR(AY$10:AY188))</f>
        <v>0</v>
      </c>
    </row>
    <row r="189" spans="3:53" x14ac:dyDescent="0.25">
      <c r="C189" s="2"/>
      <c r="E189" s="2"/>
      <c r="F189" s="15"/>
      <c r="G189" s="15">
        <f>IF(F189="",0,AVERAGE($F$10:F189))</f>
        <v>0</v>
      </c>
      <c r="H189" s="15">
        <f>IF(F188="",0,VAR($F$10:F189))</f>
        <v>0</v>
      </c>
      <c r="J189" s="2"/>
      <c r="K189" s="15" t="str">
        <f t="shared" si="72"/>
        <v/>
      </c>
      <c r="L189" s="15">
        <f>IF(K189="",0,AVERAGE($K$10:K189))</f>
        <v>0</v>
      </c>
      <c r="M189" s="15">
        <f>IF(K188="",0,VAR($K$10:K189))</f>
        <v>0</v>
      </c>
      <c r="O189" s="2"/>
      <c r="P189" s="15" t="str">
        <f t="shared" si="73"/>
        <v/>
      </c>
      <c r="Q189" s="15">
        <f>IF(P189="",0,AVERAGE(P$10:P189))</f>
        <v>0</v>
      </c>
      <c r="R189" s="15">
        <f>IF(P188="",0,VAR(P$10:P189))</f>
        <v>0</v>
      </c>
      <c r="T189" s="2"/>
      <c r="U189" s="15" t="str">
        <f t="shared" si="80"/>
        <v/>
      </c>
      <c r="V189" s="15">
        <f>IF(U189="",0,AVERAGE(U$10:U189))</f>
        <v>0</v>
      </c>
      <c r="W189" s="15">
        <f>IF(U188="",0,VAR(U$10:U189))</f>
        <v>0</v>
      </c>
      <c r="Y189" s="2"/>
      <c r="Z189" s="15" t="str">
        <f t="shared" si="74"/>
        <v/>
      </c>
      <c r="AA189" s="15">
        <f>IF(Z189="",0,AVERAGE(Z$10:Z189))</f>
        <v>0</v>
      </c>
      <c r="AB189" s="15">
        <f>IF(Z188="",0,VAR(Z$10:Z189))</f>
        <v>0</v>
      </c>
      <c r="AD189" s="2"/>
      <c r="AE189" s="15" t="str">
        <f t="shared" si="81"/>
        <v/>
      </c>
      <c r="AF189" s="15">
        <f>IF(AE189="",0,AVERAGE(AE$10:AE189))</f>
        <v>0</v>
      </c>
      <c r="AG189" s="15">
        <f>IF(AE188="",0,VAR(AE$10:AE189))</f>
        <v>0</v>
      </c>
      <c r="AI189" s="2"/>
      <c r="AJ189" s="15" t="str">
        <f t="shared" si="75"/>
        <v/>
      </c>
      <c r="AK189" s="15">
        <f>IF(AJ189="",0,AVERAGE(AJ$10:AJ189))</f>
        <v>0</v>
      </c>
      <c r="AL189" s="15">
        <f>IF(AJ188="",0,VAR(AJ$10:AJ189))</f>
        <v>0</v>
      </c>
      <c r="AN189" s="2"/>
      <c r="AO189" s="15" t="str">
        <f t="shared" si="76"/>
        <v/>
      </c>
      <c r="AP189" s="15">
        <f>IF(AO189="",0,AVERAGE(AO$10:AO189))</f>
        <v>0</v>
      </c>
      <c r="AQ189" s="15">
        <f>IF(AO188="",0,VAR(AO$10:AO189))</f>
        <v>0</v>
      </c>
      <c r="AS189" s="2"/>
      <c r="AT189" s="15" t="str">
        <f t="shared" si="77"/>
        <v/>
      </c>
      <c r="AU189" s="15">
        <f>IF(AT189="",0,AVERAGE(AT$10:AT189))</f>
        <v>0</v>
      </c>
      <c r="AV189" s="15">
        <f>IF(AT188="",0,VAR(AT$10:AT189))</f>
        <v>0</v>
      </c>
      <c r="AX189" s="2"/>
      <c r="AY189" s="15" t="str">
        <f t="shared" si="78"/>
        <v/>
      </c>
      <c r="AZ189" s="15">
        <f>IF(AY189="",0,AVERAGE(AY$10:AY189))</f>
        <v>0</v>
      </c>
      <c r="BA189" s="15">
        <f>IF(AY188="",0,VAR(AY$10:AY189))</f>
        <v>0</v>
      </c>
    </row>
    <row r="190" spans="3:53" x14ac:dyDescent="0.25">
      <c r="C190" s="2"/>
      <c r="E190" s="2"/>
      <c r="F190" s="15" t="str">
        <f t="shared" ref="F190" si="97">IF(E190="","",+(E190-E189)/E189)</f>
        <v/>
      </c>
      <c r="G190" s="15">
        <f>IF(F190="",0,AVERAGE($F$10:F190))</f>
        <v>0</v>
      </c>
      <c r="H190" s="15">
        <f>IF(F189="",0,VAR($F$10:F190))</f>
        <v>0</v>
      </c>
      <c r="J190" s="2"/>
      <c r="K190" s="15" t="str">
        <f t="shared" si="72"/>
        <v/>
      </c>
      <c r="L190" s="15">
        <f>IF(K190="",0,AVERAGE($K$10:K190))</f>
        <v>0</v>
      </c>
      <c r="M190" s="15">
        <f>IF(K189="",0,VAR($K$10:K190))</f>
        <v>0</v>
      </c>
      <c r="O190" s="2"/>
      <c r="P190" s="15" t="str">
        <f t="shared" si="73"/>
        <v/>
      </c>
      <c r="Q190" s="15">
        <f>IF(P190="",0,AVERAGE(P$10:P190))</f>
        <v>0</v>
      </c>
      <c r="R190" s="15">
        <f>IF(P189="",0,VAR(P$10:P190))</f>
        <v>0</v>
      </c>
      <c r="T190" s="2"/>
      <c r="U190" s="15" t="str">
        <f t="shared" si="80"/>
        <v/>
      </c>
      <c r="V190" s="15">
        <f>IF(U190="",0,AVERAGE(U$10:U190))</f>
        <v>0</v>
      </c>
      <c r="W190" s="15">
        <f>IF(U189="",0,VAR(U$10:U190))</f>
        <v>0</v>
      </c>
      <c r="Y190" s="2"/>
      <c r="Z190" s="15" t="str">
        <f t="shared" si="74"/>
        <v/>
      </c>
      <c r="AA190" s="15">
        <f>IF(Z190="",0,AVERAGE(Z$10:Z190))</f>
        <v>0</v>
      </c>
      <c r="AB190" s="15">
        <f>IF(Z189="",0,VAR(Z$10:Z190))</f>
        <v>0</v>
      </c>
      <c r="AD190" s="2"/>
      <c r="AE190" s="15" t="str">
        <f t="shared" si="81"/>
        <v/>
      </c>
      <c r="AF190" s="15">
        <f>IF(AE190="",0,AVERAGE(AE$10:AE190))</f>
        <v>0</v>
      </c>
      <c r="AG190" s="15">
        <f>IF(AE189="",0,VAR(AE$10:AE190))</f>
        <v>0</v>
      </c>
      <c r="AI190" s="2"/>
      <c r="AJ190" s="15" t="str">
        <f t="shared" si="75"/>
        <v/>
      </c>
      <c r="AK190" s="15">
        <f>IF(AJ190="",0,AVERAGE(AJ$10:AJ190))</f>
        <v>0</v>
      </c>
      <c r="AL190" s="15">
        <f>IF(AJ189="",0,VAR(AJ$10:AJ190))</f>
        <v>0</v>
      </c>
      <c r="AN190" s="2"/>
      <c r="AO190" s="15" t="str">
        <f t="shared" si="76"/>
        <v/>
      </c>
      <c r="AP190" s="15">
        <f>IF(AO190="",0,AVERAGE(AO$10:AO190))</f>
        <v>0</v>
      </c>
      <c r="AQ190" s="15">
        <f>IF(AO189="",0,VAR(AO$10:AO190))</f>
        <v>0</v>
      </c>
      <c r="AS190" s="2"/>
      <c r="AT190" s="15" t="str">
        <f t="shared" si="77"/>
        <v/>
      </c>
      <c r="AU190" s="15">
        <f>IF(AT190="",0,AVERAGE(AT$10:AT190))</f>
        <v>0</v>
      </c>
      <c r="AV190" s="15">
        <f>IF(AT189="",0,VAR(AT$10:AT190))</f>
        <v>0</v>
      </c>
      <c r="AX190" s="2"/>
      <c r="AY190" s="15" t="str">
        <f t="shared" si="78"/>
        <v/>
      </c>
      <c r="AZ190" s="15">
        <f>IF(AY190="",0,AVERAGE(AY$10:AY190))</f>
        <v>0</v>
      </c>
      <c r="BA190" s="15">
        <f>IF(AY189="",0,VAR(AY$10:AY190))</f>
        <v>0</v>
      </c>
    </row>
    <row r="191" spans="3:53" x14ac:dyDescent="0.25">
      <c r="C191" s="2"/>
      <c r="E191" s="2"/>
      <c r="F191" s="15" t="str">
        <f t="shared" si="71"/>
        <v/>
      </c>
      <c r="G191" s="15">
        <f>IF(F191="",0,AVERAGE($F$10:F191))</f>
        <v>0</v>
      </c>
      <c r="H191" s="15">
        <f>IF(F190="",0,VAR($F$10:F191))</f>
        <v>0</v>
      </c>
      <c r="J191" s="2"/>
      <c r="K191" s="15" t="str">
        <f t="shared" si="72"/>
        <v/>
      </c>
      <c r="L191" s="15">
        <f>IF(K191="",0,AVERAGE($K$10:K191))</f>
        <v>0</v>
      </c>
      <c r="M191" s="15">
        <f>IF(K190="",0,VAR($K$10:K191))</f>
        <v>0</v>
      </c>
      <c r="O191" s="2"/>
      <c r="P191" s="15" t="str">
        <f t="shared" si="73"/>
        <v/>
      </c>
      <c r="Q191" s="15">
        <f>IF(P191="",0,AVERAGE(P$10:P191))</f>
        <v>0</v>
      </c>
      <c r="R191" s="15">
        <f>IF(P190="",0,VAR(P$10:P191))</f>
        <v>0</v>
      </c>
      <c r="T191" s="2"/>
      <c r="U191" s="15" t="str">
        <f t="shared" si="80"/>
        <v/>
      </c>
      <c r="V191" s="15">
        <f>IF(U191="",0,AVERAGE(U$10:U191))</f>
        <v>0</v>
      </c>
      <c r="W191" s="15">
        <f>IF(U190="",0,VAR(U$10:U191))</f>
        <v>0</v>
      </c>
      <c r="Y191" s="2"/>
      <c r="Z191" s="15" t="str">
        <f t="shared" si="74"/>
        <v/>
      </c>
      <c r="AA191" s="15">
        <f>IF(Z191="",0,AVERAGE(Z$10:Z191))</f>
        <v>0</v>
      </c>
      <c r="AB191" s="15">
        <f>IF(Z190="",0,VAR(Z$10:Z191))</f>
        <v>0</v>
      </c>
      <c r="AD191" s="2"/>
      <c r="AE191" s="15" t="str">
        <f t="shared" si="81"/>
        <v/>
      </c>
      <c r="AF191" s="15">
        <f>IF(AE191="",0,AVERAGE(AE$10:AE191))</f>
        <v>0</v>
      </c>
      <c r="AG191" s="15">
        <f>IF(AE190="",0,VAR(AE$10:AE191))</f>
        <v>0</v>
      </c>
      <c r="AI191" s="2"/>
      <c r="AJ191" s="15" t="str">
        <f t="shared" si="75"/>
        <v/>
      </c>
      <c r="AK191" s="15">
        <f>IF(AJ191="",0,AVERAGE(AJ$10:AJ191))</f>
        <v>0</v>
      </c>
      <c r="AL191" s="15">
        <f>IF(AJ190="",0,VAR(AJ$10:AJ191))</f>
        <v>0</v>
      </c>
      <c r="AN191" s="2"/>
      <c r="AO191" s="15" t="str">
        <f t="shared" si="76"/>
        <v/>
      </c>
      <c r="AP191" s="15">
        <f>IF(AO191="",0,AVERAGE(AO$10:AO191))</f>
        <v>0</v>
      </c>
      <c r="AQ191" s="15">
        <f>IF(AO190="",0,VAR(AO$10:AO191))</f>
        <v>0</v>
      </c>
      <c r="AS191" s="2"/>
      <c r="AT191" s="15" t="str">
        <f t="shared" si="77"/>
        <v/>
      </c>
      <c r="AU191" s="15">
        <f>IF(AT191="",0,AVERAGE(AT$10:AT191))</f>
        <v>0</v>
      </c>
      <c r="AV191" s="15">
        <f>IF(AT190="",0,VAR(AT$10:AT191))</f>
        <v>0</v>
      </c>
      <c r="AX191" s="2"/>
      <c r="AY191" s="15" t="str">
        <f t="shared" si="78"/>
        <v/>
      </c>
      <c r="AZ191" s="15">
        <f>IF(AY191="",0,AVERAGE(AY$10:AY191))</f>
        <v>0</v>
      </c>
      <c r="BA191" s="15">
        <f>IF(AY190="",0,VAR(AY$10:AY191))</f>
        <v>0</v>
      </c>
    </row>
    <row r="192" spans="3:53" x14ac:dyDescent="0.25">
      <c r="C192" s="2"/>
      <c r="E192" s="2"/>
      <c r="F192" s="15"/>
      <c r="G192" s="15">
        <f>IF(F192="",0,AVERAGE($F$10:F192))</f>
        <v>0</v>
      </c>
      <c r="H192" s="15">
        <f>IF(F191="",0,VAR($F$10:F192))</f>
        <v>0</v>
      </c>
      <c r="J192" s="2"/>
      <c r="K192" s="15" t="str">
        <f t="shared" si="72"/>
        <v/>
      </c>
      <c r="L192" s="15">
        <f>IF(K192="",0,AVERAGE($K$10:K192))</f>
        <v>0</v>
      </c>
      <c r="M192" s="15">
        <f>IF(K191="",0,VAR($K$10:K192))</f>
        <v>0</v>
      </c>
      <c r="O192" s="2"/>
      <c r="P192" s="15" t="str">
        <f t="shared" si="73"/>
        <v/>
      </c>
      <c r="Q192" s="15">
        <f>IF(P192="",0,AVERAGE(P$10:P192))</f>
        <v>0</v>
      </c>
      <c r="R192" s="15">
        <f>IF(P191="",0,VAR(P$10:P192))</f>
        <v>0</v>
      </c>
      <c r="T192" s="2"/>
      <c r="U192" s="15" t="str">
        <f t="shared" si="80"/>
        <v/>
      </c>
      <c r="V192" s="15">
        <f>IF(U192="",0,AVERAGE(U$10:U192))</f>
        <v>0</v>
      </c>
      <c r="W192" s="15">
        <f>IF(U191="",0,VAR(U$10:U192))</f>
        <v>0</v>
      </c>
      <c r="Y192" s="2"/>
      <c r="Z192" s="15" t="str">
        <f t="shared" si="74"/>
        <v/>
      </c>
      <c r="AA192" s="15">
        <f>IF(Z192="",0,AVERAGE(Z$10:Z192))</f>
        <v>0</v>
      </c>
      <c r="AB192" s="15">
        <f>IF(Z191="",0,VAR(Z$10:Z192))</f>
        <v>0</v>
      </c>
      <c r="AD192" s="2"/>
      <c r="AE192" s="15" t="str">
        <f t="shared" si="81"/>
        <v/>
      </c>
      <c r="AF192" s="15">
        <f>IF(AE192="",0,AVERAGE(AE$10:AE192))</f>
        <v>0</v>
      </c>
      <c r="AG192" s="15">
        <f>IF(AE191="",0,VAR(AE$10:AE192))</f>
        <v>0</v>
      </c>
      <c r="AI192" s="2"/>
      <c r="AJ192" s="15" t="str">
        <f t="shared" si="75"/>
        <v/>
      </c>
      <c r="AK192" s="15">
        <f>IF(AJ192="",0,AVERAGE(AJ$10:AJ192))</f>
        <v>0</v>
      </c>
      <c r="AL192" s="15">
        <f>IF(AJ191="",0,VAR(AJ$10:AJ192))</f>
        <v>0</v>
      </c>
      <c r="AN192" s="2"/>
      <c r="AO192" s="15" t="str">
        <f t="shared" si="76"/>
        <v/>
      </c>
      <c r="AP192" s="15">
        <f>IF(AO192="",0,AVERAGE(AO$10:AO192))</f>
        <v>0</v>
      </c>
      <c r="AQ192" s="15">
        <f>IF(AO191="",0,VAR(AO$10:AO192))</f>
        <v>0</v>
      </c>
      <c r="AS192" s="2"/>
      <c r="AT192" s="15" t="str">
        <f t="shared" si="77"/>
        <v/>
      </c>
      <c r="AU192" s="15">
        <f>IF(AT192="",0,AVERAGE(AT$10:AT192))</f>
        <v>0</v>
      </c>
      <c r="AV192" s="15">
        <f>IF(AT191="",0,VAR(AT$10:AT192))</f>
        <v>0</v>
      </c>
      <c r="AX192" s="2"/>
      <c r="AY192" s="15" t="str">
        <f t="shared" si="78"/>
        <v/>
      </c>
      <c r="AZ192" s="15">
        <f>IF(AY192="",0,AVERAGE(AY$10:AY192))</f>
        <v>0</v>
      </c>
      <c r="BA192" s="15">
        <f>IF(AY191="",0,VAR(AY$10:AY192))</f>
        <v>0</v>
      </c>
    </row>
    <row r="193" spans="3:53" x14ac:dyDescent="0.25">
      <c r="C193" s="2"/>
      <c r="E193" s="2"/>
      <c r="F193" s="15" t="str">
        <f t="shared" ref="F193" si="98">IF(E193="","",+(E193-E192)/E192)</f>
        <v/>
      </c>
      <c r="G193" s="15">
        <f>IF(F193="",0,AVERAGE($F$10:F193))</f>
        <v>0</v>
      </c>
      <c r="H193" s="15">
        <f>IF(F192="",0,VAR($F$10:F193))</f>
        <v>0</v>
      </c>
      <c r="J193" s="2"/>
      <c r="K193" s="15" t="str">
        <f t="shared" si="72"/>
        <v/>
      </c>
      <c r="L193" s="15">
        <f>IF(K193="",0,AVERAGE($K$10:K193))</f>
        <v>0</v>
      </c>
      <c r="M193" s="15">
        <f>IF(K192="",0,VAR($K$10:K193))</f>
        <v>0</v>
      </c>
      <c r="O193" s="2"/>
      <c r="P193" s="15" t="str">
        <f t="shared" si="73"/>
        <v/>
      </c>
      <c r="Q193" s="15">
        <f>IF(P193="",0,AVERAGE(P$10:P193))</f>
        <v>0</v>
      </c>
      <c r="R193" s="15">
        <f>IF(P192="",0,VAR(P$10:P193))</f>
        <v>0</v>
      </c>
      <c r="T193" s="2"/>
      <c r="U193" s="15" t="str">
        <f t="shared" si="80"/>
        <v/>
      </c>
      <c r="V193" s="15">
        <f>IF(U193="",0,AVERAGE(U$10:U193))</f>
        <v>0</v>
      </c>
      <c r="W193" s="15">
        <f>IF(U192="",0,VAR(U$10:U193))</f>
        <v>0</v>
      </c>
      <c r="Y193" s="2"/>
      <c r="Z193" s="15" t="str">
        <f t="shared" si="74"/>
        <v/>
      </c>
      <c r="AA193" s="15">
        <f>IF(Z193="",0,AVERAGE(Z$10:Z193))</f>
        <v>0</v>
      </c>
      <c r="AB193" s="15">
        <f>IF(Z192="",0,VAR(Z$10:Z193))</f>
        <v>0</v>
      </c>
      <c r="AD193" s="2"/>
      <c r="AE193" s="15" t="str">
        <f t="shared" si="81"/>
        <v/>
      </c>
      <c r="AF193" s="15">
        <f>IF(AE193="",0,AVERAGE(AE$10:AE193))</f>
        <v>0</v>
      </c>
      <c r="AG193" s="15">
        <f>IF(AE192="",0,VAR(AE$10:AE193))</f>
        <v>0</v>
      </c>
      <c r="AI193" s="2"/>
      <c r="AJ193" s="15" t="str">
        <f t="shared" si="75"/>
        <v/>
      </c>
      <c r="AK193" s="15">
        <f>IF(AJ193="",0,AVERAGE(AJ$10:AJ193))</f>
        <v>0</v>
      </c>
      <c r="AL193" s="15">
        <f>IF(AJ192="",0,VAR(AJ$10:AJ193))</f>
        <v>0</v>
      </c>
      <c r="AN193" s="2"/>
      <c r="AO193" s="15" t="str">
        <f t="shared" si="76"/>
        <v/>
      </c>
      <c r="AP193" s="15">
        <f>IF(AO193="",0,AVERAGE(AO$10:AO193))</f>
        <v>0</v>
      </c>
      <c r="AQ193" s="15">
        <f>IF(AO192="",0,VAR(AO$10:AO193))</f>
        <v>0</v>
      </c>
      <c r="AS193" s="2"/>
      <c r="AT193" s="15" t="str">
        <f t="shared" si="77"/>
        <v/>
      </c>
      <c r="AU193" s="15">
        <f>IF(AT193="",0,AVERAGE(AT$10:AT193))</f>
        <v>0</v>
      </c>
      <c r="AV193" s="15">
        <f>IF(AT192="",0,VAR(AT$10:AT193))</f>
        <v>0</v>
      </c>
      <c r="AX193" s="2"/>
      <c r="AY193" s="15" t="str">
        <f t="shared" si="78"/>
        <v/>
      </c>
      <c r="AZ193" s="15">
        <f>IF(AY193="",0,AVERAGE(AY$10:AY193))</f>
        <v>0</v>
      </c>
      <c r="BA193" s="15">
        <f>IF(AY192="",0,VAR(AY$10:AY193))</f>
        <v>0</v>
      </c>
    </row>
    <row r="194" spans="3:53" x14ac:dyDescent="0.25">
      <c r="C194" s="2"/>
      <c r="E194" s="2"/>
      <c r="F194" s="15" t="str">
        <f t="shared" si="71"/>
        <v/>
      </c>
      <c r="G194" s="15">
        <f>IF(F194="",0,AVERAGE($F$10:F194))</f>
        <v>0</v>
      </c>
      <c r="H194" s="15">
        <f>IF(F193="",0,VAR($F$10:F194))</f>
        <v>0</v>
      </c>
      <c r="J194" s="2"/>
      <c r="K194" s="15" t="str">
        <f t="shared" si="72"/>
        <v/>
      </c>
      <c r="L194" s="15">
        <f>IF(K194="",0,AVERAGE($K$10:K194))</f>
        <v>0</v>
      </c>
      <c r="M194" s="15">
        <f>IF(K193="",0,VAR($K$10:K194))</f>
        <v>0</v>
      </c>
      <c r="O194" s="2"/>
      <c r="P194" s="15" t="str">
        <f t="shared" si="73"/>
        <v/>
      </c>
      <c r="Q194" s="15">
        <f>IF(P194="",0,AVERAGE(P$10:P194))</f>
        <v>0</v>
      </c>
      <c r="R194" s="15">
        <f>IF(P193="",0,VAR(P$10:P194))</f>
        <v>0</v>
      </c>
      <c r="T194" s="2"/>
      <c r="U194" s="15" t="str">
        <f t="shared" si="80"/>
        <v/>
      </c>
      <c r="V194" s="15">
        <f>IF(U194="",0,AVERAGE(U$10:U194))</f>
        <v>0</v>
      </c>
      <c r="W194" s="15">
        <f>IF(U193="",0,VAR(U$10:U194))</f>
        <v>0</v>
      </c>
      <c r="Y194" s="2"/>
      <c r="Z194" s="15" t="str">
        <f t="shared" si="74"/>
        <v/>
      </c>
      <c r="AA194" s="15">
        <f>IF(Z194="",0,AVERAGE(Z$10:Z194))</f>
        <v>0</v>
      </c>
      <c r="AB194" s="15">
        <f>IF(Z193="",0,VAR(Z$10:Z194))</f>
        <v>0</v>
      </c>
      <c r="AD194" s="2"/>
      <c r="AE194" s="15" t="str">
        <f t="shared" si="81"/>
        <v/>
      </c>
      <c r="AF194" s="15">
        <f>IF(AE194="",0,AVERAGE(AE$10:AE194))</f>
        <v>0</v>
      </c>
      <c r="AG194" s="15">
        <f>IF(AE193="",0,VAR(AE$10:AE194))</f>
        <v>0</v>
      </c>
      <c r="AI194" s="2"/>
      <c r="AJ194" s="15" t="str">
        <f t="shared" si="75"/>
        <v/>
      </c>
      <c r="AK194" s="15">
        <f>IF(AJ194="",0,AVERAGE(AJ$10:AJ194))</f>
        <v>0</v>
      </c>
      <c r="AL194" s="15">
        <f>IF(AJ193="",0,VAR(AJ$10:AJ194))</f>
        <v>0</v>
      </c>
      <c r="AN194" s="2"/>
      <c r="AO194" s="15" t="str">
        <f t="shared" si="76"/>
        <v/>
      </c>
      <c r="AP194" s="15">
        <f>IF(AO194="",0,AVERAGE(AO$10:AO194))</f>
        <v>0</v>
      </c>
      <c r="AQ194" s="15">
        <f>IF(AO193="",0,VAR(AO$10:AO194))</f>
        <v>0</v>
      </c>
      <c r="AS194" s="2"/>
      <c r="AT194" s="15" t="str">
        <f t="shared" si="77"/>
        <v/>
      </c>
      <c r="AU194" s="15">
        <f>IF(AT194="",0,AVERAGE(AT$10:AT194))</f>
        <v>0</v>
      </c>
      <c r="AV194" s="15">
        <f>IF(AT193="",0,VAR(AT$10:AT194))</f>
        <v>0</v>
      </c>
      <c r="AX194" s="2"/>
      <c r="AY194" s="15" t="str">
        <f t="shared" si="78"/>
        <v/>
      </c>
      <c r="AZ194" s="15">
        <f>IF(AY194="",0,AVERAGE(AY$10:AY194))</f>
        <v>0</v>
      </c>
      <c r="BA194" s="15">
        <f>IF(AY193="",0,VAR(AY$10:AY194))</f>
        <v>0</v>
      </c>
    </row>
    <row r="195" spans="3:53" x14ac:dyDescent="0.25">
      <c r="C195" s="2"/>
      <c r="E195" s="2"/>
      <c r="F195" s="15"/>
      <c r="G195" s="15">
        <f>IF(F195="",0,AVERAGE($F$10:F195))</f>
        <v>0</v>
      </c>
      <c r="H195" s="15">
        <f>IF(F194="",0,VAR($F$10:F195))</f>
        <v>0</v>
      </c>
      <c r="J195" s="2"/>
      <c r="K195" s="15" t="str">
        <f t="shared" si="72"/>
        <v/>
      </c>
      <c r="L195" s="15">
        <f>IF(K195="",0,AVERAGE($K$10:K195))</f>
        <v>0</v>
      </c>
      <c r="M195" s="15">
        <f>IF(K194="",0,VAR($K$10:K195))</f>
        <v>0</v>
      </c>
      <c r="O195" s="2"/>
      <c r="P195" s="15" t="str">
        <f t="shared" si="73"/>
        <v/>
      </c>
      <c r="Q195" s="15">
        <f>IF(P195="",0,AVERAGE(P$10:P195))</f>
        <v>0</v>
      </c>
      <c r="R195" s="15">
        <f>IF(P194="",0,VAR(P$10:P195))</f>
        <v>0</v>
      </c>
      <c r="T195" s="2"/>
      <c r="U195" s="15" t="str">
        <f t="shared" si="80"/>
        <v/>
      </c>
      <c r="V195" s="15">
        <f>IF(U195="",0,AVERAGE(U$10:U195))</f>
        <v>0</v>
      </c>
      <c r="W195" s="15">
        <f>IF(U194="",0,VAR(U$10:U195))</f>
        <v>0</v>
      </c>
      <c r="Y195" s="2"/>
      <c r="Z195" s="15" t="str">
        <f t="shared" si="74"/>
        <v/>
      </c>
      <c r="AA195" s="15">
        <f>IF(Z195="",0,AVERAGE(Z$10:Z195))</f>
        <v>0</v>
      </c>
      <c r="AB195" s="15">
        <f>IF(Z194="",0,VAR(Z$10:Z195))</f>
        <v>0</v>
      </c>
      <c r="AD195" s="2"/>
      <c r="AE195" s="15" t="str">
        <f t="shared" si="81"/>
        <v/>
      </c>
      <c r="AF195" s="15">
        <f>IF(AE195="",0,AVERAGE(AE$10:AE195))</f>
        <v>0</v>
      </c>
      <c r="AG195" s="15">
        <f>IF(AE194="",0,VAR(AE$10:AE195))</f>
        <v>0</v>
      </c>
      <c r="AI195" s="2"/>
      <c r="AJ195" s="15" t="str">
        <f t="shared" si="75"/>
        <v/>
      </c>
      <c r="AK195" s="15">
        <f>IF(AJ195="",0,AVERAGE(AJ$10:AJ195))</f>
        <v>0</v>
      </c>
      <c r="AL195" s="15">
        <f>IF(AJ194="",0,VAR(AJ$10:AJ195))</f>
        <v>0</v>
      </c>
      <c r="AN195" s="2"/>
      <c r="AO195" s="15" t="str">
        <f t="shared" si="76"/>
        <v/>
      </c>
      <c r="AP195" s="15">
        <f>IF(AO195="",0,AVERAGE(AO$10:AO195))</f>
        <v>0</v>
      </c>
      <c r="AQ195" s="15">
        <f>IF(AO194="",0,VAR(AO$10:AO195))</f>
        <v>0</v>
      </c>
      <c r="AS195" s="2"/>
      <c r="AT195" s="15" t="str">
        <f t="shared" si="77"/>
        <v/>
      </c>
      <c r="AU195" s="15">
        <f>IF(AT195="",0,AVERAGE(AT$10:AT195))</f>
        <v>0</v>
      </c>
      <c r="AV195" s="15">
        <f>IF(AT194="",0,VAR(AT$10:AT195))</f>
        <v>0</v>
      </c>
      <c r="AX195" s="2"/>
      <c r="AY195" s="15" t="str">
        <f t="shared" si="78"/>
        <v/>
      </c>
      <c r="AZ195" s="15">
        <f>IF(AY195="",0,AVERAGE(AY$10:AY195))</f>
        <v>0</v>
      </c>
      <c r="BA195" s="15">
        <f>IF(AY194="",0,VAR(AY$10:AY195))</f>
        <v>0</v>
      </c>
    </row>
    <row r="196" spans="3:53" x14ac:dyDescent="0.25">
      <c r="C196" s="2"/>
      <c r="E196" s="2"/>
      <c r="F196" s="15" t="str">
        <f t="shared" ref="F196" si="99">IF(E196="","",+(E196-E195)/E195)</f>
        <v/>
      </c>
      <c r="G196" s="15">
        <f>IF(F196="",0,AVERAGE($F$10:F196))</f>
        <v>0</v>
      </c>
      <c r="H196" s="15">
        <f>IF(F195="",0,VAR($F$10:F196))</f>
        <v>0</v>
      </c>
      <c r="J196" s="2"/>
      <c r="K196" s="15" t="str">
        <f t="shared" si="72"/>
        <v/>
      </c>
      <c r="L196" s="15">
        <f>IF(K196="",0,AVERAGE($K$10:K196))</f>
        <v>0</v>
      </c>
      <c r="M196" s="15">
        <f>IF(K195="",0,VAR($K$10:K196))</f>
        <v>0</v>
      </c>
      <c r="O196" s="2"/>
      <c r="P196" s="15" t="str">
        <f t="shared" si="73"/>
        <v/>
      </c>
      <c r="Q196" s="15">
        <f>IF(P196="",0,AVERAGE(P$10:P196))</f>
        <v>0</v>
      </c>
      <c r="R196" s="15">
        <f>IF(P195="",0,VAR(P$10:P196))</f>
        <v>0</v>
      </c>
      <c r="T196" s="2"/>
      <c r="U196" s="15" t="str">
        <f t="shared" si="80"/>
        <v/>
      </c>
      <c r="V196" s="15">
        <f>IF(U196="",0,AVERAGE(U$10:U196))</f>
        <v>0</v>
      </c>
      <c r="W196" s="15">
        <f>IF(U195="",0,VAR(U$10:U196))</f>
        <v>0</v>
      </c>
      <c r="Y196" s="2"/>
      <c r="Z196" s="15" t="str">
        <f t="shared" si="74"/>
        <v/>
      </c>
      <c r="AA196" s="15">
        <f>IF(Z196="",0,AVERAGE(Z$10:Z196))</f>
        <v>0</v>
      </c>
      <c r="AB196" s="15">
        <f>IF(Z195="",0,VAR(Z$10:Z196))</f>
        <v>0</v>
      </c>
      <c r="AD196" s="2"/>
      <c r="AE196" s="15" t="str">
        <f t="shared" si="81"/>
        <v/>
      </c>
      <c r="AF196" s="15">
        <f>IF(AE196="",0,AVERAGE(AE$10:AE196))</f>
        <v>0</v>
      </c>
      <c r="AG196" s="15">
        <f>IF(AE195="",0,VAR(AE$10:AE196))</f>
        <v>0</v>
      </c>
      <c r="AI196" s="2"/>
      <c r="AJ196" s="15" t="str">
        <f t="shared" si="75"/>
        <v/>
      </c>
      <c r="AK196" s="15">
        <f>IF(AJ196="",0,AVERAGE(AJ$10:AJ196))</f>
        <v>0</v>
      </c>
      <c r="AL196" s="15">
        <f>IF(AJ195="",0,VAR(AJ$10:AJ196))</f>
        <v>0</v>
      </c>
      <c r="AN196" s="2"/>
      <c r="AO196" s="15" t="str">
        <f t="shared" si="76"/>
        <v/>
      </c>
      <c r="AP196" s="15">
        <f>IF(AO196="",0,AVERAGE(AO$10:AO196))</f>
        <v>0</v>
      </c>
      <c r="AQ196" s="15">
        <f>IF(AO195="",0,VAR(AO$10:AO196))</f>
        <v>0</v>
      </c>
      <c r="AS196" s="2"/>
      <c r="AT196" s="15" t="str">
        <f t="shared" si="77"/>
        <v/>
      </c>
      <c r="AU196" s="15">
        <f>IF(AT196="",0,AVERAGE(AT$10:AT196))</f>
        <v>0</v>
      </c>
      <c r="AV196" s="15">
        <f>IF(AT195="",0,VAR(AT$10:AT196))</f>
        <v>0</v>
      </c>
      <c r="AX196" s="2"/>
      <c r="AY196" s="15" t="str">
        <f t="shared" si="78"/>
        <v/>
      </c>
      <c r="AZ196" s="15">
        <f>IF(AY196="",0,AVERAGE(AY$10:AY196))</f>
        <v>0</v>
      </c>
      <c r="BA196" s="15">
        <f>IF(AY195="",0,VAR(AY$10:AY196))</f>
        <v>0</v>
      </c>
    </row>
    <row r="197" spans="3:53" x14ac:dyDescent="0.25">
      <c r="C197" s="2"/>
      <c r="E197" s="2"/>
      <c r="F197" s="15" t="str">
        <f t="shared" si="71"/>
        <v/>
      </c>
      <c r="G197" s="15">
        <f>IF(F197="",0,AVERAGE($F$10:F197))</f>
        <v>0</v>
      </c>
      <c r="H197" s="15">
        <f>IF(F196="",0,VAR($F$10:F197))</f>
        <v>0</v>
      </c>
      <c r="J197" s="2"/>
      <c r="K197" s="15" t="str">
        <f t="shared" si="72"/>
        <v/>
      </c>
      <c r="L197" s="15">
        <f>IF(K197="",0,AVERAGE($K$10:K197))</f>
        <v>0</v>
      </c>
      <c r="M197" s="15">
        <f>IF(K196="",0,VAR($K$10:K197))</f>
        <v>0</v>
      </c>
      <c r="O197" s="2"/>
      <c r="P197" s="15" t="str">
        <f t="shared" si="73"/>
        <v/>
      </c>
      <c r="Q197" s="15">
        <f>IF(P197="",0,AVERAGE(P$10:P197))</f>
        <v>0</v>
      </c>
      <c r="R197" s="15">
        <f>IF(P196="",0,VAR(P$10:P197))</f>
        <v>0</v>
      </c>
      <c r="T197" s="2"/>
      <c r="U197" s="15" t="str">
        <f t="shared" si="80"/>
        <v/>
      </c>
      <c r="V197" s="15">
        <f>IF(U197="",0,AVERAGE(U$10:U197))</f>
        <v>0</v>
      </c>
      <c r="W197" s="15">
        <f>IF(U196="",0,VAR(U$10:U197))</f>
        <v>0</v>
      </c>
      <c r="Y197" s="2"/>
      <c r="Z197" s="15" t="str">
        <f t="shared" si="74"/>
        <v/>
      </c>
      <c r="AA197" s="15">
        <f>IF(Z197="",0,AVERAGE(Z$10:Z197))</f>
        <v>0</v>
      </c>
      <c r="AB197" s="15">
        <f>IF(Z196="",0,VAR(Z$10:Z197))</f>
        <v>0</v>
      </c>
      <c r="AD197" s="2"/>
      <c r="AE197" s="15" t="str">
        <f t="shared" si="81"/>
        <v/>
      </c>
      <c r="AF197" s="15">
        <f>IF(AE197="",0,AVERAGE(AE$10:AE197))</f>
        <v>0</v>
      </c>
      <c r="AG197" s="15">
        <f>IF(AE196="",0,VAR(AE$10:AE197))</f>
        <v>0</v>
      </c>
      <c r="AI197" s="2"/>
      <c r="AJ197" s="15" t="str">
        <f t="shared" si="75"/>
        <v/>
      </c>
      <c r="AK197" s="15">
        <f>IF(AJ197="",0,AVERAGE(AJ$10:AJ197))</f>
        <v>0</v>
      </c>
      <c r="AL197" s="15">
        <f>IF(AJ196="",0,VAR(AJ$10:AJ197))</f>
        <v>0</v>
      </c>
      <c r="AN197" s="2"/>
      <c r="AO197" s="15" t="str">
        <f t="shared" si="76"/>
        <v/>
      </c>
      <c r="AP197" s="15">
        <f>IF(AO197="",0,AVERAGE(AO$10:AO197))</f>
        <v>0</v>
      </c>
      <c r="AQ197" s="15">
        <f>IF(AO196="",0,VAR(AO$10:AO197))</f>
        <v>0</v>
      </c>
      <c r="AS197" s="2"/>
      <c r="AT197" s="15" t="str">
        <f t="shared" si="77"/>
        <v/>
      </c>
      <c r="AU197" s="15">
        <f>IF(AT197="",0,AVERAGE(AT$10:AT197))</f>
        <v>0</v>
      </c>
      <c r="AV197" s="15">
        <f>IF(AT196="",0,VAR(AT$10:AT197))</f>
        <v>0</v>
      </c>
      <c r="AX197" s="2"/>
      <c r="AY197" s="15" t="str">
        <f t="shared" si="78"/>
        <v/>
      </c>
      <c r="AZ197" s="15">
        <f>IF(AY197="",0,AVERAGE(AY$10:AY197))</f>
        <v>0</v>
      </c>
      <c r="BA197" s="15">
        <f>IF(AY196="",0,VAR(AY$10:AY197))</f>
        <v>0</v>
      </c>
    </row>
    <row r="198" spans="3:53" x14ac:dyDescent="0.25">
      <c r="C198" s="2"/>
      <c r="E198" s="2"/>
      <c r="F198" s="15"/>
      <c r="G198" s="15">
        <f>IF(F198="",0,AVERAGE($F$10:F198))</f>
        <v>0</v>
      </c>
      <c r="H198" s="15">
        <f>IF(F197="",0,VAR($F$10:F198))</f>
        <v>0</v>
      </c>
      <c r="J198" s="2"/>
      <c r="K198" s="15" t="str">
        <f t="shared" si="72"/>
        <v/>
      </c>
      <c r="L198" s="15">
        <f>IF(K198="",0,AVERAGE($K$10:K198))</f>
        <v>0</v>
      </c>
      <c r="M198" s="15">
        <f>IF(K197="",0,VAR($K$10:K198))</f>
        <v>0</v>
      </c>
      <c r="O198" s="2"/>
      <c r="P198" s="15" t="str">
        <f t="shared" si="73"/>
        <v/>
      </c>
      <c r="Q198" s="15">
        <f>IF(P198="",0,AVERAGE(P$10:P198))</f>
        <v>0</v>
      </c>
      <c r="R198" s="15">
        <f>IF(P197="",0,VAR(P$10:P198))</f>
        <v>0</v>
      </c>
      <c r="T198" s="2"/>
      <c r="U198" s="15" t="str">
        <f t="shared" si="80"/>
        <v/>
      </c>
      <c r="V198" s="15">
        <f>IF(U198="",0,AVERAGE(U$10:U198))</f>
        <v>0</v>
      </c>
      <c r="W198" s="15">
        <f>IF(U197="",0,VAR(U$10:U198))</f>
        <v>0</v>
      </c>
      <c r="Y198" s="2"/>
      <c r="Z198" s="15" t="str">
        <f t="shared" si="74"/>
        <v/>
      </c>
      <c r="AA198" s="15">
        <f>IF(Z198="",0,AVERAGE(Z$10:Z198))</f>
        <v>0</v>
      </c>
      <c r="AB198" s="15">
        <f>IF(Z197="",0,VAR(Z$10:Z198))</f>
        <v>0</v>
      </c>
      <c r="AD198" s="2"/>
      <c r="AE198" s="15" t="str">
        <f t="shared" si="81"/>
        <v/>
      </c>
      <c r="AF198" s="15">
        <f>IF(AE198="",0,AVERAGE(AE$10:AE198))</f>
        <v>0</v>
      </c>
      <c r="AG198" s="15">
        <f>IF(AE197="",0,VAR(AE$10:AE198))</f>
        <v>0</v>
      </c>
      <c r="AI198" s="2"/>
      <c r="AJ198" s="15" t="str">
        <f t="shared" si="75"/>
        <v/>
      </c>
      <c r="AK198" s="15">
        <f>IF(AJ198="",0,AVERAGE(AJ$10:AJ198))</f>
        <v>0</v>
      </c>
      <c r="AL198" s="15">
        <f>IF(AJ197="",0,VAR(AJ$10:AJ198))</f>
        <v>0</v>
      </c>
      <c r="AN198" s="2"/>
      <c r="AO198" s="15" t="str">
        <f t="shared" si="76"/>
        <v/>
      </c>
      <c r="AP198" s="15">
        <f>IF(AO198="",0,AVERAGE(AO$10:AO198))</f>
        <v>0</v>
      </c>
      <c r="AQ198" s="15">
        <f>IF(AO197="",0,VAR(AO$10:AO198))</f>
        <v>0</v>
      </c>
      <c r="AS198" s="2"/>
      <c r="AT198" s="15" t="str">
        <f t="shared" si="77"/>
        <v/>
      </c>
      <c r="AU198" s="15">
        <f>IF(AT198="",0,AVERAGE(AT$10:AT198))</f>
        <v>0</v>
      </c>
      <c r="AV198" s="15">
        <f>IF(AT197="",0,VAR(AT$10:AT198))</f>
        <v>0</v>
      </c>
      <c r="AX198" s="2"/>
      <c r="AY198" s="15" t="str">
        <f t="shared" si="78"/>
        <v/>
      </c>
      <c r="AZ198" s="15">
        <f>IF(AY198="",0,AVERAGE(AY$10:AY198))</f>
        <v>0</v>
      </c>
      <c r="BA198" s="15">
        <f>IF(AY197="",0,VAR(AY$10:AY198))</f>
        <v>0</v>
      </c>
    </row>
    <row r="199" spans="3:53" x14ac:dyDescent="0.25">
      <c r="C199" s="2"/>
      <c r="E199" s="2"/>
      <c r="F199" s="15" t="str">
        <f t="shared" ref="F199" si="100">IF(E199="","",+(E199-E198)/E198)</f>
        <v/>
      </c>
      <c r="G199" s="15">
        <f>IF(F199="",0,AVERAGE($F$10:F199))</f>
        <v>0</v>
      </c>
      <c r="H199" s="15">
        <f>IF(F198="",0,VAR($F$10:F199))</f>
        <v>0</v>
      </c>
      <c r="J199" s="2"/>
      <c r="K199" s="15" t="str">
        <f t="shared" si="72"/>
        <v/>
      </c>
      <c r="L199" s="15">
        <f>IF(K199="",0,AVERAGE($K$10:K199))</f>
        <v>0</v>
      </c>
      <c r="M199" s="15">
        <f>IF(K198="",0,VAR($K$10:K199))</f>
        <v>0</v>
      </c>
      <c r="O199" s="2"/>
      <c r="P199" s="15" t="str">
        <f t="shared" si="73"/>
        <v/>
      </c>
      <c r="Q199" s="15">
        <f>IF(P199="",0,AVERAGE(P$10:P199))</f>
        <v>0</v>
      </c>
      <c r="R199" s="15">
        <f>IF(P198="",0,VAR(P$10:P199))</f>
        <v>0</v>
      </c>
      <c r="T199" s="2"/>
      <c r="U199" s="15" t="str">
        <f t="shared" si="80"/>
        <v/>
      </c>
      <c r="V199" s="15">
        <f>IF(U199="",0,AVERAGE(U$10:U199))</f>
        <v>0</v>
      </c>
      <c r="W199" s="15">
        <f>IF(U198="",0,VAR(U$10:U199))</f>
        <v>0</v>
      </c>
      <c r="Y199" s="2"/>
      <c r="Z199" s="15" t="str">
        <f t="shared" si="74"/>
        <v/>
      </c>
      <c r="AA199" s="15">
        <f>IF(Z199="",0,AVERAGE(Z$10:Z199))</f>
        <v>0</v>
      </c>
      <c r="AB199" s="15">
        <f>IF(Z198="",0,VAR(Z$10:Z199))</f>
        <v>0</v>
      </c>
      <c r="AD199" s="2"/>
      <c r="AE199" s="15" t="str">
        <f t="shared" si="81"/>
        <v/>
      </c>
      <c r="AF199" s="15">
        <f>IF(AE199="",0,AVERAGE(AE$10:AE199))</f>
        <v>0</v>
      </c>
      <c r="AG199" s="15">
        <f>IF(AE198="",0,VAR(AE$10:AE199))</f>
        <v>0</v>
      </c>
      <c r="AI199" s="2"/>
      <c r="AJ199" s="15" t="str">
        <f t="shared" si="75"/>
        <v/>
      </c>
      <c r="AK199" s="15">
        <f>IF(AJ199="",0,AVERAGE(AJ$10:AJ199))</f>
        <v>0</v>
      </c>
      <c r="AL199" s="15">
        <f>IF(AJ198="",0,VAR(AJ$10:AJ199))</f>
        <v>0</v>
      </c>
      <c r="AN199" s="2"/>
      <c r="AO199" s="15" t="str">
        <f t="shared" si="76"/>
        <v/>
      </c>
      <c r="AP199" s="15">
        <f>IF(AO199="",0,AVERAGE(AO$10:AO199))</f>
        <v>0</v>
      </c>
      <c r="AQ199" s="15">
        <f>IF(AO198="",0,VAR(AO$10:AO199))</f>
        <v>0</v>
      </c>
      <c r="AS199" s="2"/>
      <c r="AT199" s="15" t="str">
        <f t="shared" si="77"/>
        <v/>
      </c>
      <c r="AU199" s="15">
        <f>IF(AT199="",0,AVERAGE(AT$10:AT199))</f>
        <v>0</v>
      </c>
      <c r="AV199" s="15">
        <f>IF(AT198="",0,VAR(AT$10:AT199))</f>
        <v>0</v>
      </c>
      <c r="AX199" s="2"/>
      <c r="AY199" s="15" t="str">
        <f t="shared" si="78"/>
        <v/>
      </c>
      <c r="AZ199" s="15">
        <f>IF(AY199="",0,AVERAGE(AY$10:AY199))</f>
        <v>0</v>
      </c>
      <c r="BA199" s="15">
        <f>IF(AY198="",0,VAR(AY$10:AY199))</f>
        <v>0</v>
      </c>
    </row>
    <row r="200" spans="3:53" x14ac:dyDescent="0.25">
      <c r="C200" s="2"/>
      <c r="E200" s="2"/>
      <c r="F200" s="15" t="str">
        <f t="shared" si="71"/>
        <v/>
      </c>
      <c r="G200" s="15">
        <f>IF(F200="",0,AVERAGE($F$10:F200))</f>
        <v>0</v>
      </c>
      <c r="H200" s="15">
        <f>IF(F199="",0,VAR($F$10:F200))</f>
        <v>0</v>
      </c>
      <c r="J200" s="2"/>
      <c r="K200" s="15" t="str">
        <f t="shared" si="72"/>
        <v/>
      </c>
      <c r="L200" s="15">
        <f>IF(K200="",0,AVERAGE($K$10:K200))</f>
        <v>0</v>
      </c>
      <c r="M200" s="15">
        <f>IF(K199="",0,VAR($K$10:K200))</f>
        <v>0</v>
      </c>
      <c r="O200" s="2"/>
      <c r="P200" s="15" t="str">
        <f t="shared" si="73"/>
        <v/>
      </c>
      <c r="Q200" s="15">
        <f>IF(P200="",0,AVERAGE(P$10:P200))</f>
        <v>0</v>
      </c>
      <c r="R200" s="15">
        <f>IF(P199="",0,VAR(P$10:P200))</f>
        <v>0</v>
      </c>
      <c r="T200" s="2"/>
      <c r="U200" s="15" t="str">
        <f t="shared" si="80"/>
        <v/>
      </c>
      <c r="V200" s="15">
        <f>IF(U200="",0,AVERAGE(U$10:U200))</f>
        <v>0</v>
      </c>
      <c r="W200" s="15">
        <f>IF(U199="",0,VAR(U$10:U200))</f>
        <v>0</v>
      </c>
      <c r="Y200" s="2"/>
      <c r="Z200" s="15" t="str">
        <f t="shared" si="74"/>
        <v/>
      </c>
      <c r="AA200" s="15">
        <f>IF(Z200="",0,AVERAGE(Z$10:Z200))</f>
        <v>0</v>
      </c>
      <c r="AB200" s="15">
        <f>IF(Z199="",0,VAR(Z$10:Z200))</f>
        <v>0</v>
      </c>
      <c r="AD200" s="2"/>
      <c r="AE200" s="15" t="str">
        <f t="shared" si="81"/>
        <v/>
      </c>
      <c r="AF200" s="15">
        <f>IF(AE200="",0,AVERAGE(AE$10:AE200))</f>
        <v>0</v>
      </c>
      <c r="AG200" s="15">
        <f>IF(AE199="",0,VAR(AE$10:AE200))</f>
        <v>0</v>
      </c>
      <c r="AI200" s="2"/>
      <c r="AJ200" s="15" t="str">
        <f t="shared" si="75"/>
        <v/>
      </c>
      <c r="AK200" s="15">
        <f>IF(AJ200="",0,AVERAGE(AJ$10:AJ200))</f>
        <v>0</v>
      </c>
      <c r="AL200" s="15">
        <f>IF(AJ199="",0,VAR(AJ$10:AJ200))</f>
        <v>0</v>
      </c>
      <c r="AN200" s="2"/>
      <c r="AO200" s="15" t="str">
        <f t="shared" si="76"/>
        <v/>
      </c>
      <c r="AP200" s="15">
        <f>IF(AO200="",0,AVERAGE(AO$10:AO200))</f>
        <v>0</v>
      </c>
      <c r="AQ200" s="15">
        <f>IF(AO199="",0,VAR(AO$10:AO200))</f>
        <v>0</v>
      </c>
      <c r="AS200" s="2"/>
      <c r="AT200" s="15" t="str">
        <f t="shared" si="77"/>
        <v/>
      </c>
      <c r="AU200" s="15">
        <f>IF(AT200="",0,AVERAGE(AT$10:AT200))</f>
        <v>0</v>
      </c>
      <c r="AV200" s="15">
        <f>IF(AT199="",0,VAR(AT$10:AT200))</f>
        <v>0</v>
      </c>
      <c r="AX200" s="2"/>
      <c r="AY200" s="15" t="str">
        <f t="shared" si="78"/>
        <v/>
      </c>
      <c r="AZ200" s="15">
        <f>IF(AY200="",0,AVERAGE(AY$10:AY200))</f>
        <v>0</v>
      </c>
      <c r="BA200" s="15">
        <f>IF(AY199="",0,VAR(AY$10:AY200))</f>
        <v>0</v>
      </c>
    </row>
    <row r="201" spans="3:53" x14ac:dyDescent="0.25">
      <c r="C201" s="2"/>
      <c r="E201" s="2"/>
      <c r="F201" s="15"/>
      <c r="G201" s="15">
        <f>IF(F201="",0,AVERAGE($F$10:F201))</f>
        <v>0</v>
      </c>
      <c r="H201" s="15">
        <f>IF(F200="",0,VAR($F$10:F201))</f>
        <v>0</v>
      </c>
      <c r="J201" s="2"/>
      <c r="K201" s="15" t="str">
        <f t="shared" si="72"/>
        <v/>
      </c>
      <c r="L201" s="15">
        <f>IF(K201="",0,AVERAGE($K$10:K201))</f>
        <v>0</v>
      </c>
      <c r="M201" s="15">
        <f>IF(K200="",0,VAR($K$10:K201))</f>
        <v>0</v>
      </c>
      <c r="O201" s="2"/>
      <c r="P201" s="15" t="str">
        <f t="shared" si="73"/>
        <v/>
      </c>
      <c r="Q201" s="15">
        <f>IF(P201="",0,AVERAGE(P$10:P201))</f>
        <v>0</v>
      </c>
      <c r="R201" s="15">
        <f>IF(P200="",0,VAR(P$10:P201))</f>
        <v>0</v>
      </c>
      <c r="T201" s="2"/>
      <c r="U201" s="15" t="str">
        <f t="shared" si="80"/>
        <v/>
      </c>
      <c r="V201" s="15">
        <f>IF(U201="",0,AVERAGE(U$10:U201))</f>
        <v>0</v>
      </c>
      <c r="W201" s="15">
        <f>IF(U200="",0,VAR(U$10:U201))</f>
        <v>0</v>
      </c>
      <c r="Y201" s="2"/>
      <c r="Z201" s="15" t="str">
        <f t="shared" si="74"/>
        <v/>
      </c>
      <c r="AA201" s="15">
        <f>IF(Z201="",0,AVERAGE(Z$10:Z201))</f>
        <v>0</v>
      </c>
      <c r="AB201" s="15">
        <f>IF(Z200="",0,VAR(Z$10:Z201))</f>
        <v>0</v>
      </c>
      <c r="AD201" s="2"/>
      <c r="AE201" s="15" t="str">
        <f t="shared" si="81"/>
        <v/>
      </c>
      <c r="AF201" s="15">
        <f>IF(AE201="",0,AVERAGE(AE$10:AE201))</f>
        <v>0</v>
      </c>
      <c r="AG201" s="15">
        <f>IF(AE200="",0,VAR(AE$10:AE201))</f>
        <v>0</v>
      </c>
      <c r="AI201" s="2"/>
      <c r="AJ201" s="15" t="str">
        <f t="shared" si="75"/>
        <v/>
      </c>
      <c r="AK201" s="15">
        <f>IF(AJ201="",0,AVERAGE(AJ$10:AJ201))</f>
        <v>0</v>
      </c>
      <c r="AL201" s="15">
        <f>IF(AJ200="",0,VAR(AJ$10:AJ201))</f>
        <v>0</v>
      </c>
      <c r="AN201" s="2"/>
      <c r="AO201" s="15" t="str">
        <f t="shared" si="76"/>
        <v/>
      </c>
      <c r="AP201" s="15">
        <f>IF(AO201="",0,AVERAGE(AO$10:AO201))</f>
        <v>0</v>
      </c>
      <c r="AQ201" s="15">
        <f>IF(AO200="",0,VAR(AO$10:AO201))</f>
        <v>0</v>
      </c>
      <c r="AS201" s="2"/>
      <c r="AT201" s="15" t="str">
        <f t="shared" si="77"/>
        <v/>
      </c>
      <c r="AU201" s="15">
        <f>IF(AT201="",0,AVERAGE(AT$10:AT201))</f>
        <v>0</v>
      </c>
      <c r="AV201" s="15">
        <f>IF(AT200="",0,VAR(AT$10:AT201))</f>
        <v>0</v>
      </c>
      <c r="AX201" s="2"/>
      <c r="AY201" s="15" t="str">
        <f t="shared" si="78"/>
        <v/>
      </c>
      <c r="AZ201" s="15">
        <f>IF(AY201="",0,AVERAGE(AY$10:AY201))</f>
        <v>0</v>
      </c>
      <c r="BA201" s="15">
        <f>IF(AY200="",0,VAR(AY$10:AY201))</f>
        <v>0</v>
      </c>
    </row>
    <row r="202" spans="3:53" x14ac:dyDescent="0.25">
      <c r="C202" s="2"/>
      <c r="E202" s="2"/>
      <c r="F202" s="15" t="str">
        <f t="shared" ref="F202:F263" si="101">IF(E202="","",+(E202-E201)/E201)</f>
        <v/>
      </c>
      <c r="G202" s="15">
        <f>IF(F202="",0,AVERAGE($F$10:F202))</f>
        <v>0</v>
      </c>
      <c r="H202" s="15">
        <f>IF(F201="",0,VAR($F$10:F202))</f>
        <v>0</v>
      </c>
      <c r="J202" s="2"/>
      <c r="K202" s="15" t="str">
        <f t="shared" si="72"/>
        <v/>
      </c>
      <c r="L202" s="15">
        <f>IF(K202="",0,AVERAGE($K$10:K202))</f>
        <v>0</v>
      </c>
      <c r="M202" s="15">
        <f>IF(K201="",0,VAR($K$10:K202))</f>
        <v>0</v>
      </c>
      <c r="O202" s="2"/>
      <c r="P202" s="15" t="str">
        <f t="shared" si="73"/>
        <v/>
      </c>
      <c r="Q202" s="15">
        <f>IF(P202="",0,AVERAGE(P$10:P202))</f>
        <v>0</v>
      </c>
      <c r="R202" s="15">
        <f>IF(P201="",0,VAR(P$10:P202))</f>
        <v>0</v>
      </c>
      <c r="T202" s="2"/>
      <c r="U202" s="15" t="str">
        <f t="shared" si="80"/>
        <v/>
      </c>
      <c r="V202" s="15">
        <f>IF(U202="",0,AVERAGE(U$10:U202))</f>
        <v>0</v>
      </c>
      <c r="W202" s="15">
        <f>IF(U201="",0,VAR(U$10:U202))</f>
        <v>0</v>
      </c>
      <c r="Y202" s="2"/>
      <c r="Z202" s="15" t="str">
        <f t="shared" si="74"/>
        <v/>
      </c>
      <c r="AA202" s="15">
        <f>IF(Z202="",0,AVERAGE(Z$10:Z202))</f>
        <v>0</v>
      </c>
      <c r="AB202" s="15">
        <f>IF(Z201="",0,VAR(Z$10:Z202))</f>
        <v>0</v>
      </c>
      <c r="AD202" s="2"/>
      <c r="AE202" s="15" t="str">
        <f t="shared" si="81"/>
        <v/>
      </c>
      <c r="AF202" s="15">
        <f>IF(AE202="",0,AVERAGE(AE$10:AE202))</f>
        <v>0</v>
      </c>
      <c r="AG202" s="15">
        <f>IF(AE201="",0,VAR(AE$10:AE202))</f>
        <v>0</v>
      </c>
      <c r="AI202" s="2"/>
      <c r="AJ202" s="15" t="str">
        <f t="shared" si="75"/>
        <v/>
      </c>
      <c r="AK202" s="15">
        <f>IF(AJ202="",0,AVERAGE(AJ$10:AJ202))</f>
        <v>0</v>
      </c>
      <c r="AL202" s="15">
        <f>IF(AJ201="",0,VAR(AJ$10:AJ202))</f>
        <v>0</v>
      </c>
      <c r="AN202" s="2"/>
      <c r="AO202" s="15" t="str">
        <f t="shared" si="76"/>
        <v/>
      </c>
      <c r="AP202" s="15">
        <f>IF(AO202="",0,AVERAGE(AO$10:AO202))</f>
        <v>0</v>
      </c>
      <c r="AQ202" s="15">
        <f>IF(AO201="",0,VAR(AO$10:AO202))</f>
        <v>0</v>
      </c>
      <c r="AS202" s="2"/>
      <c r="AT202" s="15" t="str">
        <f t="shared" si="77"/>
        <v/>
      </c>
      <c r="AU202" s="15">
        <f>IF(AT202="",0,AVERAGE(AT$10:AT202))</f>
        <v>0</v>
      </c>
      <c r="AV202" s="15">
        <f>IF(AT201="",0,VAR(AT$10:AT202))</f>
        <v>0</v>
      </c>
      <c r="AX202" s="2"/>
      <c r="AY202" s="15" t="str">
        <f t="shared" si="78"/>
        <v/>
      </c>
      <c r="AZ202" s="15">
        <f>IF(AY202="",0,AVERAGE(AY$10:AY202))</f>
        <v>0</v>
      </c>
      <c r="BA202" s="15">
        <f>IF(AY201="",0,VAR(AY$10:AY202))</f>
        <v>0</v>
      </c>
    </row>
    <row r="203" spans="3:53" x14ac:dyDescent="0.25">
      <c r="C203" s="2"/>
      <c r="E203" s="2"/>
      <c r="F203" s="15" t="str">
        <f t="shared" si="101"/>
        <v/>
      </c>
      <c r="G203" s="15">
        <f>IF(F203="",0,AVERAGE($F$10:F203))</f>
        <v>0</v>
      </c>
      <c r="H203" s="15">
        <f>IF(F202="",0,VAR($F$10:F203))</f>
        <v>0</v>
      </c>
      <c r="J203" s="2"/>
      <c r="K203" s="15" t="str">
        <f t="shared" si="72"/>
        <v/>
      </c>
      <c r="L203" s="15">
        <f>IF(K203="",0,AVERAGE($K$10:K203))</f>
        <v>0</v>
      </c>
      <c r="M203" s="15">
        <f>IF(K202="",0,VAR($K$10:K203))</f>
        <v>0</v>
      </c>
      <c r="O203" s="2"/>
      <c r="P203" s="15" t="str">
        <f t="shared" si="73"/>
        <v/>
      </c>
      <c r="Q203" s="15">
        <f>IF(P203="",0,AVERAGE(P$10:P203))</f>
        <v>0</v>
      </c>
      <c r="R203" s="15">
        <f>IF(P202="",0,VAR(P$10:P203))</f>
        <v>0</v>
      </c>
      <c r="T203" s="2"/>
      <c r="U203" s="15" t="str">
        <f t="shared" si="80"/>
        <v/>
      </c>
      <c r="V203" s="15">
        <f>IF(U203="",0,AVERAGE(U$10:U203))</f>
        <v>0</v>
      </c>
      <c r="W203" s="15">
        <f>IF(U202="",0,VAR(U$10:U203))</f>
        <v>0</v>
      </c>
      <c r="Y203" s="2"/>
      <c r="Z203" s="15" t="str">
        <f t="shared" si="74"/>
        <v/>
      </c>
      <c r="AA203" s="15">
        <f>IF(Z203="",0,AVERAGE(Z$10:Z203))</f>
        <v>0</v>
      </c>
      <c r="AB203" s="15">
        <f>IF(Z202="",0,VAR(Z$10:Z203))</f>
        <v>0</v>
      </c>
      <c r="AD203" s="2"/>
      <c r="AE203" s="15" t="str">
        <f t="shared" si="81"/>
        <v/>
      </c>
      <c r="AF203" s="15">
        <f>IF(AE203="",0,AVERAGE(AE$10:AE203))</f>
        <v>0</v>
      </c>
      <c r="AG203" s="15">
        <f>IF(AE202="",0,VAR(AE$10:AE203))</f>
        <v>0</v>
      </c>
      <c r="AI203" s="2"/>
      <c r="AJ203" s="15" t="str">
        <f t="shared" si="75"/>
        <v/>
      </c>
      <c r="AK203" s="15">
        <f>IF(AJ203="",0,AVERAGE(AJ$10:AJ203))</f>
        <v>0</v>
      </c>
      <c r="AL203" s="15">
        <f>IF(AJ202="",0,VAR(AJ$10:AJ203))</f>
        <v>0</v>
      </c>
      <c r="AN203" s="2"/>
      <c r="AO203" s="15" t="str">
        <f t="shared" si="76"/>
        <v/>
      </c>
      <c r="AP203" s="15">
        <f>IF(AO203="",0,AVERAGE(AO$10:AO203))</f>
        <v>0</v>
      </c>
      <c r="AQ203" s="15">
        <f>IF(AO202="",0,VAR(AO$10:AO203))</f>
        <v>0</v>
      </c>
      <c r="AS203" s="2"/>
      <c r="AT203" s="15" t="str">
        <f t="shared" si="77"/>
        <v/>
      </c>
      <c r="AU203" s="15">
        <f>IF(AT203="",0,AVERAGE(AT$10:AT203))</f>
        <v>0</v>
      </c>
      <c r="AV203" s="15">
        <f>IF(AT202="",0,VAR(AT$10:AT203))</f>
        <v>0</v>
      </c>
      <c r="AX203" s="2"/>
      <c r="AY203" s="15" t="str">
        <f t="shared" si="78"/>
        <v/>
      </c>
      <c r="AZ203" s="15">
        <f>IF(AY203="",0,AVERAGE(AY$10:AY203))</f>
        <v>0</v>
      </c>
      <c r="BA203" s="15">
        <f>IF(AY202="",0,VAR(AY$10:AY203))</f>
        <v>0</v>
      </c>
    </row>
    <row r="204" spans="3:53" x14ac:dyDescent="0.25">
      <c r="C204" s="2"/>
      <c r="E204" s="2"/>
      <c r="F204" s="15"/>
      <c r="G204" s="15">
        <f>IF(F204="",0,AVERAGE($F$10:F204))</f>
        <v>0</v>
      </c>
      <c r="H204" s="15">
        <f>IF(F203="",0,VAR($F$10:F204))</f>
        <v>0</v>
      </c>
      <c r="J204" s="2"/>
      <c r="K204" s="15" t="str">
        <f t="shared" ref="K204:K267" si="102">IF(J204="","",+(J204-J203)/J203)</f>
        <v/>
      </c>
      <c r="L204" s="15">
        <f>IF(K204="",0,AVERAGE($K$10:K204))</f>
        <v>0</v>
      </c>
      <c r="M204" s="15">
        <f>IF(K203="",0,VAR($K$10:K204))</f>
        <v>0</v>
      </c>
      <c r="O204" s="2"/>
      <c r="P204" s="15" t="str">
        <f t="shared" ref="P204:P267" si="103">IF(O204="","",+(O204-O203)/O203)</f>
        <v/>
      </c>
      <c r="Q204" s="15">
        <f>IF(P204="",0,AVERAGE(P$10:P204))</f>
        <v>0</v>
      </c>
      <c r="R204" s="15">
        <f>IF(P203="",0,VAR(P$10:P204))</f>
        <v>0</v>
      </c>
      <c r="T204" s="2"/>
      <c r="U204" s="15" t="str">
        <f t="shared" si="80"/>
        <v/>
      </c>
      <c r="V204" s="15">
        <f>IF(U204="",0,AVERAGE(U$10:U204))</f>
        <v>0</v>
      </c>
      <c r="W204" s="15">
        <f>IF(U203="",0,VAR(U$10:U204))</f>
        <v>0</v>
      </c>
      <c r="Y204" s="2"/>
      <c r="Z204" s="15" t="str">
        <f t="shared" ref="Z204:Z267" si="104">IF(Y204="","",+(Y204-Y203)/Y203)</f>
        <v/>
      </c>
      <c r="AA204" s="15">
        <f>IF(Z204="",0,AVERAGE(Z$10:Z204))</f>
        <v>0</v>
      </c>
      <c r="AB204" s="15">
        <f>IF(Z203="",0,VAR(Z$10:Z204))</f>
        <v>0</v>
      </c>
      <c r="AD204" s="2"/>
      <c r="AE204" s="15" t="str">
        <f t="shared" si="81"/>
        <v/>
      </c>
      <c r="AF204" s="15">
        <f>IF(AE204="",0,AVERAGE(AE$10:AE204))</f>
        <v>0</v>
      </c>
      <c r="AG204" s="15">
        <f>IF(AE203="",0,VAR(AE$10:AE204))</f>
        <v>0</v>
      </c>
      <c r="AI204" s="2"/>
      <c r="AJ204" s="15" t="str">
        <f t="shared" si="75"/>
        <v/>
      </c>
      <c r="AK204" s="15">
        <f>IF(AJ204="",0,AVERAGE(AJ$10:AJ204))</f>
        <v>0</v>
      </c>
      <c r="AL204" s="15">
        <f>IF(AJ203="",0,VAR(AJ$10:AJ204))</f>
        <v>0</v>
      </c>
      <c r="AN204" s="2"/>
      <c r="AO204" s="15" t="str">
        <f t="shared" si="76"/>
        <v/>
      </c>
      <c r="AP204" s="15">
        <f>IF(AO204="",0,AVERAGE(AO$10:AO204))</f>
        <v>0</v>
      </c>
      <c r="AQ204" s="15">
        <f>IF(AO203="",0,VAR(AO$10:AO204))</f>
        <v>0</v>
      </c>
      <c r="AS204" s="2"/>
      <c r="AT204" s="15" t="str">
        <f t="shared" si="77"/>
        <v/>
      </c>
      <c r="AU204" s="15">
        <f>IF(AT204="",0,AVERAGE(AT$10:AT204))</f>
        <v>0</v>
      </c>
      <c r="AV204" s="15">
        <f>IF(AT203="",0,VAR(AT$10:AT204))</f>
        <v>0</v>
      </c>
      <c r="AX204" s="2"/>
      <c r="AY204" s="15" t="str">
        <f t="shared" si="78"/>
        <v/>
      </c>
      <c r="AZ204" s="15">
        <f>IF(AY204="",0,AVERAGE(AY$10:AY204))</f>
        <v>0</v>
      </c>
      <c r="BA204" s="15">
        <f>IF(AY203="",0,VAR(AY$10:AY204))</f>
        <v>0</v>
      </c>
    </row>
    <row r="205" spans="3:53" x14ac:dyDescent="0.25">
      <c r="C205" s="2"/>
      <c r="E205" s="2"/>
      <c r="F205" s="15" t="str">
        <f t="shared" ref="F205" si="105">IF(E205="","",+(E205-E204)/E204)</f>
        <v/>
      </c>
      <c r="G205" s="15">
        <f>IF(F205="",0,AVERAGE($F$10:F205))</f>
        <v>0</v>
      </c>
      <c r="H205" s="15">
        <f>IF(F204="",0,VAR($F$10:F205))</f>
        <v>0</v>
      </c>
      <c r="J205" s="2"/>
      <c r="K205" s="15" t="str">
        <f t="shared" si="102"/>
        <v/>
      </c>
      <c r="L205" s="15">
        <f>IF(K205="",0,AVERAGE($K$10:K205))</f>
        <v>0</v>
      </c>
      <c r="M205" s="15">
        <f>IF(K204="",0,VAR($K$10:K205))</f>
        <v>0</v>
      </c>
      <c r="O205" s="2"/>
      <c r="P205" s="15" t="str">
        <f t="shared" si="103"/>
        <v/>
      </c>
      <c r="Q205" s="15">
        <f>IF(P205="",0,AVERAGE(P$10:P205))</f>
        <v>0</v>
      </c>
      <c r="R205" s="15">
        <f>IF(P204="",0,VAR(P$10:P205))</f>
        <v>0</v>
      </c>
      <c r="T205" s="2"/>
      <c r="U205" s="15" t="str">
        <f t="shared" si="80"/>
        <v/>
      </c>
      <c r="V205" s="15">
        <f>IF(U205="",0,AVERAGE(U$10:U205))</f>
        <v>0</v>
      </c>
      <c r="W205" s="15">
        <f>IF(U204="",0,VAR(U$10:U205))</f>
        <v>0</v>
      </c>
      <c r="Y205" s="2"/>
      <c r="Z205" s="15" t="str">
        <f t="shared" si="104"/>
        <v/>
      </c>
      <c r="AA205" s="15">
        <f>IF(Z205="",0,AVERAGE(Z$10:Z205))</f>
        <v>0</v>
      </c>
      <c r="AB205" s="15">
        <f>IF(Z204="",0,VAR(Z$10:Z205))</f>
        <v>0</v>
      </c>
      <c r="AD205" s="2"/>
      <c r="AE205" s="15" t="str">
        <f t="shared" si="81"/>
        <v/>
      </c>
      <c r="AF205" s="15">
        <f>IF(AE205="",0,AVERAGE(AE$10:AE205))</f>
        <v>0</v>
      </c>
      <c r="AG205" s="15">
        <f>IF(AE204="",0,VAR(AE$10:AE205))</f>
        <v>0</v>
      </c>
      <c r="AI205" s="2"/>
      <c r="AJ205" s="15" t="str">
        <f t="shared" ref="AJ205:AJ268" si="106">IF(AI205="","",+(AI205-AI204)/AI204)</f>
        <v/>
      </c>
      <c r="AK205" s="15">
        <f>IF(AJ205="",0,AVERAGE(AJ$10:AJ205))</f>
        <v>0</v>
      </c>
      <c r="AL205" s="15">
        <f>IF(AJ204="",0,VAR(AJ$10:AJ205))</f>
        <v>0</v>
      </c>
      <c r="AN205" s="2"/>
      <c r="AO205" s="15" t="str">
        <f t="shared" ref="AO205:AO268" si="107">IF(AN205="","",+(AN205-AN204)/AN204)</f>
        <v/>
      </c>
      <c r="AP205" s="15">
        <f>IF(AO205="",0,AVERAGE(AO$10:AO205))</f>
        <v>0</v>
      </c>
      <c r="AQ205" s="15">
        <f>IF(AO204="",0,VAR(AO$10:AO205))</f>
        <v>0</v>
      </c>
      <c r="AS205" s="2"/>
      <c r="AT205" s="15" t="str">
        <f t="shared" ref="AT205:AT268" si="108">IF(AS205="","",+(AS205-AS204)/AS204)</f>
        <v/>
      </c>
      <c r="AU205" s="15">
        <f>IF(AT205="",0,AVERAGE(AT$10:AT205))</f>
        <v>0</v>
      </c>
      <c r="AV205" s="15">
        <f>IF(AT204="",0,VAR(AT$10:AT205))</f>
        <v>0</v>
      </c>
      <c r="AX205" s="2"/>
      <c r="AY205" s="15" t="str">
        <f t="shared" ref="AY205:AY268" si="109">IF(AX205="","",+(AX205-AX204)/AX204)</f>
        <v/>
      </c>
      <c r="AZ205" s="15">
        <f>IF(AY205="",0,AVERAGE(AY$10:AY205))</f>
        <v>0</v>
      </c>
      <c r="BA205" s="15">
        <f>IF(AY204="",0,VAR(AY$10:AY205))</f>
        <v>0</v>
      </c>
    </row>
    <row r="206" spans="3:53" x14ac:dyDescent="0.25">
      <c r="C206" s="2"/>
      <c r="E206" s="2"/>
      <c r="F206" s="15" t="str">
        <f t="shared" si="101"/>
        <v/>
      </c>
      <c r="G206" s="15">
        <f>IF(F206="",0,AVERAGE($F$10:F206))</f>
        <v>0</v>
      </c>
      <c r="H206" s="15">
        <f>IF(F205="",0,VAR($F$10:F206))</f>
        <v>0</v>
      </c>
      <c r="J206" s="2"/>
      <c r="K206" s="15" t="str">
        <f t="shared" si="102"/>
        <v/>
      </c>
      <c r="L206" s="15">
        <f>IF(K206="",0,AVERAGE($K$10:K206))</f>
        <v>0</v>
      </c>
      <c r="M206" s="15">
        <f>IF(K205="",0,VAR($K$10:K206))</f>
        <v>0</v>
      </c>
      <c r="O206" s="2"/>
      <c r="P206" s="15" t="str">
        <f t="shared" si="103"/>
        <v/>
      </c>
      <c r="Q206" s="15">
        <f>IF(P206="",0,AVERAGE(P$10:P206))</f>
        <v>0</v>
      </c>
      <c r="R206" s="15">
        <f>IF(P205="",0,VAR(P$10:P206))</f>
        <v>0</v>
      </c>
      <c r="T206" s="2"/>
      <c r="U206" s="15" t="str">
        <f t="shared" ref="U206:U269" si="110">IF(T206="","",+(T206-T205)/T205)</f>
        <v/>
      </c>
      <c r="V206" s="15">
        <f>IF(U206="",0,AVERAGE(U$10:U206))</f>
        <v>0</v>
      </c>
      <c r="W206" s="15">
        <f>IF(U205="",0,VAR(U$10:U206))</f>
        <v>0</v>
      </c>
      <c r="Y206" s="2"/>
      <c r="Z206" s="15" t="str">
        <f t="shared" si="104"/>
        <v/>
      </c>
      <c r="AA206" s="15">
        <f>IF(Z206="",0,AVERAGE(Z$10:Z206))</f>
        <v>0</v>
      </c>
      <c r="AB206" s="15">
        <f>IF(Z205="",0,VAR(Z$10:Z206))</f>
        <v>0</v>
      </c>
      <c r="AD206" s="2"/>
      <c r="AE206" s="15" t="str">
        <f t="shared" ref="AE206:AE269" si="111">IF(AD206="","",+(AD206-AD205)/AD205)</f>
        <v/>
      </c>
      <c r="AF206" s="15">
        <f>IF(AE206="",0,AVERAGE(AE$10:AE206))</f>
        <v>0</v>
      </c>
      <c r="AG206" s="15">
        <f>IF(AE205="",0,VAR(AE$10:AE206))</f>
        <v>0</v>
      </c>
      <c r="AI206" s="2"/>
      <c r="AJ206" s="15" t="str">
        <f t="shared" si="106"/>
        <v/>
      </c>
      <c r="AK206" s="15">
        <f>IF(AJ206="",0,AVERAGE(AJ$10:AJ206))</f>
        <v>0</v>
      </c>
      <c r="AL206" s="15">
        <f>IF(AJ205="",0,VAR(AJ$10:AJ206))</f>
        <v>0</v>
      </c>
      <c r="AN206" s="2"/>
      <c r="AO206" s="15" t="str">
        <f t="shared" si="107"/>
        <v/>
      </c>
      <c r="AP206" s="15">
        <f>IF(AO206="",0,AVERAGE(AO$10:AO206))</f>
        <v>0</v>
      </c>
      <c r="AQ206" s="15">
        <f>IF(AO205="",0,VAR(AO$10:AO206))</f>
        <v>0</v>
      </c>
      <c r="AS206" s="2"/>
      <c r="AT206" s="15" t="str">
        <f t="shared" si="108"/>
        <v/>
      </c>
      <c r="AU206" s="15">
        <f>IF(AT206="",0,AVERAGE(AT$10:AT206))</f>
        <v>0</v>
      </c>
      <c r="AV206" s="15">
        <f>IF(AT205="",0,VAR(AT$10:AT206))</f>
        <v>0</v>
      </c>
      <c r="AX206" s="2"/>
      <c r="AY206" s="15" t="str">
        <f t="shared" si="109"/>
        <v/>
      </c>
      <c r="AZ206" s="15">
        <f>IF(AY206="",0,AVERAGE(AY$10:AY206))</f>
        <v>0</v>
      </c>
      <c r="BA206" s="15">
        <f>IF(AY205="",0,VAR(AY$10:AY206))</f>
        <v>0</v>
      </c>
    </row>
    <row r="207" spans="3:53" x14ac:dyDescent="0.25">
      <c r="C207" s="2"/>
      <c r="E207" s="2"/>
      <c r="F207" s="15"/>
      <c r="G207" s="15">
        <f>IF(F207="",0,AVERAGE($F$10:F207))</f>
        <v>0</v>
      </c>
      <c r="H207" s="15">
        <f>IF(F206="",0,VAR($F$10:F207))</f>
        <v>0</v>
      </c>
      <c r="J207" s="2"/>
      <c r="K207" s="15" t="str">
        <f t="shared" si="102"/>
        <v/>
      </c>
      <c r="L207" s="15">
        <f>IF(K207="",0,AVERAGE($K$10:K207))</f>
        <v>0</v>
      </c>
      <c r="M207" s="15">
        <f>IF(K206="",0,VAR($K$10:K207))</f>
        <v>0</v>
      </c>
      <c r="O207" s="2"/>
      <c r="P207" s="15" t="str">
        <f t="shared" si="103"/>
        <v/>
      </c>
      <c r="Q207" s="15">
        <f>IF(P207="",0,AVERAGE(P$10:P207))</f>
        <v>0</v>
      </c>
      <c r="R207" s="15">
        <f>IF(P206="",0,VAR(P$10:P207))</f>
        <v>0</v>
      </c>
      <c r="T207" s="2"/>
      <c r="U207" s="15" t="str">
        <f t="shared" si="110"/>
        <v/>
      </c>
      <c r="V207" s="15">
        <f>IF(U207="",0,AVERAGE(U$10:U207))</f>
        <v>0</v>
      </c>
      <c r="W207" s="15">
        <f>IF(U206="",0,VAR(U$10:U207))</f>
        <v>0</v>
      </c>
      <c r="Y207" s="2"/>
      <c r="Z207" s="15" t="str">
        <f t="shared" si="104"/>
        <v/>
      </c>
      <c r="AA207" s="15">
        <f>IF(Z207="",0,AVERAGE(Z$10:Z207))</f>
        <v>0</v>
      </c>
      <c r="AB207" s="15">
        <f>IF(Z206="",0,VAR(Z$10:Z207))</f>
        <v>0</v>
      </c>
      <c r="AD207" s="2"/>
      <c r="AE207" s="15" t="str">
        <f t="shared" si="111"/>
        <v/>
      </c>
      <c r="AF207" s="15">
        <f>IF(AE207="",0,AVERAGE(AE$10:AE207))</f>
        <v>0</v>
      </c>
      <c r="AG207" s="15">
        <f>IF(AE206="",0,VAR(AE$10:AE207))</f>
        <v>0</v>
      </c>
      <c r="AI207" s="2"/>
      <c r="AJ207" s="15" t="str">
        <f t="shared" si="106"/>
        <v/>
      </c>
      <c r="AK207" s="15">
        <f>IF(AJ207="",0,AVERAGE(AJ$10:AJ207))</f>
        <v>0</v>
      </c>
      <c r="AL207" s="15">
        <f>IF(AJ206="",0,VAR(AJ$10:AJ207))</f>
        <v>0</v>
      </c>
      <c r="AN207" s="2"/>
      <c r="AO207" s="15" t="str">
        <f t="shared" si="107"/>
        <v/>
      </c>
      <c r="AP207" s="15">
        <f>IF(AO207="",0,AVERAGE(AO$10:AO207))</f>
        <v>0</v>
      </c>
      <c r="AQ207" s="15">
        <f>IF(AO206="",0,VAR(AO$10:AO207))</f>
        <v>0</v>
      </c>
      <c r="AS207" s="2"/>
      <c r="AT207" s="15" t="str">
        <f t="shared" si="108"/>
        <v/>
      </c>
      <c r="AU207" s="15">
        <f>IF(AT207="",0,AVERAGE(AT$10:AT207))</f>
        <v>0</v>
      </c>
      <c r="AV207" s="15">
        <f>IF(AT206="",0,VAR(AT$10:AT207))</f>
        <v>0</v>
      </c>
      <c r="AX207" s="2"/>
      <c r="AY207" s="15" t="str">
        <f t="shared" si="109"/>
        <v/>
      </c>
      <c r="AZ207" s="15">
        <f>IF(AY207="",0,AVERAGE(AY$10:AY207))</f>
        <v>0</v>
      </c>
      <c r="BA207" s="15">
        <f>IF(AY206="",0,VAR(AY$10:AY207))</f>
        <v>0</v>
      </c>
    </row>
    <row r="208" spans="3:53" x14ac:dyDescent="0.25">
      <c r="C208" s="2"/>
      <c r="E208" s="2"/>
      <c r="F208" s="15" t="str">
        <f t="shared" ref="F208" si="112">IF(E208="","",+(E208-E207)/E207)</f>
        <v/>
      </c>
      <c r="G208" s="15">
        <f>IF(F208="",0,AVERAGE($F$10:F208))</f>
        <v>0</v>
      </c>
      <c r="H208" s="15">
        <f>IF(F207="",0,VAR($F$10:F208))</f>
        <v>0</v>
      </c>
      <c r="J208" s="2"/>
      <c r="K208" s="15" t="str">
        <f t="shared" si="102"/>
        <v/>
      </c>
      <c r="L208" s="15">
        <f>IF(K208="",0,AVERAGE($K$10:K208))</f>
        <v>0</v>
      </c>
      <c r="M208" s="15">
        <f>IF(K207="",0,VAR($K$10:K208))</f>
        <v>0</v>
      </c>
      <c r="O208" s="2"/>
      <c r="P208" s="15" t="str">
        <f t="shared" si="103"/>
        <v/>
      </c>
      <c r="Q208" s="15">
        <f>IF(P208="",0,AVERAGE(P$10:P208))</f>
        <v>0</v>
      </c>
      <c r="R208" s="15">
        <f>IF(P207="",0,VAR(P$10:P208))</f>
        <v>0</v>
      </c>
      <c r="T208" s="2"/>
      <c r="U208" s="15" t="str">
        <f t="shared" si="110"/>
        <v/>
      </c>
      <c r="V208" s="15">
        <f>IF(U208="",0,AVERAGE(U$10:U208))</f>
        <v>0</v>
      </c>
      <c r="W208" s="15">
        <f>IF(U207="",0,VAR(U$10:U208))</f>
        <v>0</v>
      </c>
      <c r="Y208" s="2"/>
      <c r="Z208" s="15" t="str">
        <f t="shared" si="104"/>
        <v/>
      </c>
      <c r="AA208" s="15">
        <f>IF(Z208="",0,AVERAGE(Z$10:Z208))</f>
        <v>0</v>
      </c>
      <c r="AB208" s="15">
        <f>IF(Z207="",0,VAR(Z$10:Z208))</f>
        <v>0</v>
      </c>
      <c r="AD208" s="2"/>
      <c r="AE208" s="15" t="str">
        <f t="shared" si="111"/>
        <v/>
      </c>
      <c r="AF208" s="15">
        <f>IF(AE208="",0,AVERAGE(AE$10:AE208))</f>
        <v>0</v>
      </c>
      <c r="AG208" s="15">
        <f>IF(AE207="",0,VAR(AE$10:AE208))</f>
        <v>0</v>
      </c>
      <c r="AI208" s="2"/>
      <c r="AJ208" s="15" t="str">
        <f t="shared" si="106"/>
        <v/>
      </c>
      <c r="AK208" s="15">
        <f>IF(AJ208="",0,AVERAGE(AJ$10:AJ208))</f>
        <v>0</v>
      </c>
      <c r="AL208" s="15">
        <f>IF(AJ207="",0,VAR(AJ$10:AJ208))</f>
        <v>0</v>
      </c>
      <c r="AN208" s="2"/>
      <c r="AO208" s="15" t="str">
        <f t="shared" si="107"/>
        <v/>
      </c>
      <c r="AP208" s="15">
        <f>IF(AO208="",0,AVERAGE(AO$10:AO208))</f>
        <v>0</v>
      </c>
      <c r="AQ208" s="15">
        <f>IF(AO207="",0,VAR(AO$10:AO208))</f>
        <v>0</v>
      </c>
      <c r="AS208" s="2"/>
      <c r="AT208" s="15" t="str">
        <f t="shared" si="108"/>
        <v/>
      </c>
      <c r="AU208" s="15">
        <f>IF(AT208="",0,AVERAGE(AT$10:AT208))</f>
        <v>0</v>
      </c>
      <c r="AV208" s="15">
        <f>IF(AT207="",0,VAR(AT$10:AT208))</f>
        <v>0</v>
      </c>
      <c r="AX208" s="2"/>
      <c r="AY208" s="15" t="str">
        <f t="shared" si="109"/>
        <v/>
      </c>
      <c r="AZ208" s="15">
        <f>IF(AY208="",0,AVERAGE(AY$10:AY208))</f>
        <v>0</v>
      </c>
      <c r="BA208" s="15">
        <f>IF(AY207="",0,VAR(AY$10:AY208))</f>
        <v>0</v>
      </c>
    </row>
    <row r="209" spans="3:53" x14ac:dyDescent="0.25">
      <c r="C209" s="2"/>
      <c r="E209" s="2"/>
      <c r="F209" s="15" t="str">
        <f t="shared" si="101"/>
        <v/>
      </c>
      <c r="G209" s="15">
        <f>IF(F209="",0,AVERAGE($F$10:F209))</f>
        <v>0</v>
      </c>
      <c r="H209" s="15">
        <f>IF(F208="",0,VAR($F$10:F209))</f>
        <v>0</v>
      </c>
      <c r="J209" s="2"/>
      <c r="K209" s="15" t="str">
        <f t="shared" si="102"/>
        <v/>
      </c>
      <c r="L209" s="15">
        <f>IF(K209="",0,AVERAGE($K$10:K209))</f>
        <v>0</v>
      </c>
      <c r="M209" s="15">
        <f>IF(K208="",0,VAR($K$10:K209))</f>
        <v>0</v>
      </c>
      <c r="O209" s="2"/>
      <c r="P209" s="15" t="str">
        <f t="shared" si="103"/>
        <v/>
      </c>
      <c r="Q209" s="15">
        <f>IF(P209="",0,AVERAGE(P$10:P209))</f>
        <v>0</v>
      </c>
      <c r="R209" s="15">
        <f>IF(P208="",0,VAR(P$10:P209))</f>
        <v>0</v>
      </c>
      <c r="T209" s="2"/>
      <c r="U209" s="15" t="str">
        <f t="shared" si="110"/>
        <v/>
      </c>
      <c r="V209" s="15">
        <f>IF(U209="",0,AVERAGE(U$10:U209))</f>
        <v>0</v>
      </c>
      <c r="W209" s="15">
        <f>IF(U208="",0,VAR(U$10:U209))</f>
        <v>0</v>
      </c>
      <c r="Y209" s="2"/>
      <c r="Z209" s="15" t="str">
        <f t="shared" si="104"/>
        <v/>
      </c>
      <c r="AA209" s="15">
        <f>IF(Z209="",0,AVERAGE(Z$10:Z209))</f>
        <v>0</v>
      </c>
      <c r="AB209" s="15">
        <f>IF(Z208="",0,VAR(Z$10:Z209))</f>
        <v>0</v>
      </c>
      <c r="AD209" s="2"/>
      <c r="AE209" s="15" t="str">
        <f t="shared" si="111"/>
        <v/>
      </c>
      <c r="AF209" s="15">
        <f>IF(AE209="",0,AVERAGE(AE$10:AE209))</f>
        <v>0</v>
      </c>
      <c r="AG209" s="15">
        <f>IF(AE208="",0,VAR(AE$10:AE209))</f>
        <v>0</v>
      </c>
      <c r="AI209" s="2"/>
      <c r="AJ209" s="15" t="str">
        <f t="shared" si="106"/>
        <v/>
      </c>
      <c r="AK209" s="15">
        <f>IF(AJ209="",0,AVERAGE(AJ$10:AJ209))</f>
        <v>0</v>
      </c>
      <c r="AL209" s="15">
        <f>IF(AJ208="",0,VAR(AJ$10:AJ209))</f>
        <v>0</v>
      </c>
      <c r="AN209" s="2"/>
      <c r="AO209" s="15" t="str">
        <f t="shared" si="107"/>
        <v/>
      </c>
      <c r="AP209" s="15">
        <f>IF(AO209="",0,AVERAGE(AO$10:AO209))</f>
        <v>0</v>
      </c>
      <c r="AQ209" s="15">
        <f>IF(AO208="",0,VAR(AO$10:AO209))</f>
        <v>0</v>
      </c>
      <c r="AS209" s="2"/>
      <c r="AT209" s="15" t="str">
        <f t="shared" si="108"/>
        <v/>
      </c>
      <c r="AU209" s="15">
        <f>IF(AT209="",0,AVERAGE(AT$10:AT209))</f>
        <v>0</v>
      </c>
      <c r="AV209" s="15">
        <f>IF(AT208="",0,VAR(AT$10:AT209))</f>
        <v>0</v>
      </c>
      <c r="AX209" s="2"/>
      <c r="AY209" s="15" t="str">
        <f t="shared" si="109"/>
        <v/>
      </c>
      <c r="AZ209" s="15">
        <f>IF(AY209="",0,AVERAGE(AY$10:AY209))</f>
        <v>0</v>
      </c>
      <c r="BA209" s="15">
        <f>IF(AY208="",0,VAR(AY$10:AY209))</f>
        <v>0</v>
      </c>
    </row>
    <row r="210" spans="3:53" x14ac:dyDescent="0.25">
      <c r="C210" s="2"/>
      <c r="E210" s="2"/>
      <c r="F210" s="15"/>
      <c r="G210" s="15">
        <f>IF(F210="",0,AVERAGE($F$10:F210))</f>
        <v>0</v>
      </c>
      <c r="H210" s="15">
        <f>IF(F209="",0,VAR($F$10:F210))</f>
        <v>0</v>
      </c>
      <c r="J210" s="2"/>
      <c r="K210" s="15" t="str">
        <f t="shared" si="102"/>
        <v/>
      </c>
      <c r="L210" s="15">
        <f>IF(K210="",0,AVERAGE($K$10:K210))</f>
        <v>0</v>
      </c>
      <c r="M210" s="15">
        <f>IF(K209="",0,VAR($K$10:K210))</f>
        <v>0</v>
      </c>
      <c r="O210" s="2"/>
      <c r="P210" s="15" t="str">
        <f t="shared" si="103"/>
        <v/>
      </c>
      <c r="Q210" s="15">
        <f>IF(P210="",0,AVERAGE(P$10:P210))</f>
        <v>0</v>
      </c>
      <c r="R210" s="15">
        <f>IF(P209="",0,VAR(P$10:P210))</f>
        <v>0</v>
      </c>
      <c r="T210" s="2"/>
      <c r="U210" s="15" t="str">
        <f t="shared" si="110"/>
        <v/>
      </c>
      <c r="V210" s="15">
        <f>IF(U210="",0,AVERAGE(U$10:U210))</f>
        <v>0</v>
      </c>
      <c r="W210" s="15">
        <f>IF(U209="",0,VAR(U$10:U210))</f>
        <v>0</v>
      </c>
      <c r="Y210" s="2"/>
      <c r="Z210" s="15" t="str">
        <f t="shared" si="104"/>
        <v/>
      </c>
      <c r="AA210" s="15">
        <f>IF(Z210="",0,AVERAGE(Z$10:Z210))</f>
        <v>0</v>
      </c>
      <c r="AB210" s="15">
        <f>IF(Z209="",0,VAR(Z$10:Z210))</f>
        <v>0</v>
      </c>
      <c r="AD210" s="2"/>
      <c r="AE210" s="15" t="str">
        <f t="shared" si="111"/>
        <v/>
      </c>
      <c r="AF210" s="15">
        <f>IF(AE210="",0,AVERAGE(AE$10:AE210))</f>
        <v>0</v>
      </c>
      <c r="AG210" s="15">
        <f>IF(AE209="",0,VAR(AE$10:AE210))</f>
        <v>0</v>
      </c>
      <c r="AI210" s="2"/>
      <c r="AJ210" s="15" t="str">
        <f t="shared" si="106"/>
        <v/>
      </c>
      <c r="AK210" s="15">
        <f>IF(AJ210="",0,AVERAGE(AJ$10:AJ210))</f>
        <v>0</v>
      </c>
      <c r="AL210" s="15">
        <f>IF(AJ209="",0,VAR(AJ$10:AJ210))</f>
        <v>0</v>
      </c>
      <c r="AN210" s="2"/>
      <c r="AO210" s="15" t="str">
        <f t="shared" si="107"/>
        <v/>
      </c>
      <c r="AP210" s="15">
        <f>IF(AO210="",0,AVERAGE(AO$10:AO210))</f>
        <v>0</v>
      </c>
      <c r="AQ210" s="15">
        <f>IF(AO209="",0,VAR(AO$10:AO210))</f>
        <v>0</v>
      </c>
      <c r="AS210" s="2"/>
      <c r="AT210" s="15" t="str">
        <f t="shared" si="108"/>
        <v/>
      </c>
      <c r="AU210" s="15">
        <f>IF(AT210="",0,AVERAGE(AT$10:AT210))</f>
        <v>0</v>
      </c>
      <c r="AV210" s="15">
        <f>IF(AT209="",0,VAR(AT$10:AT210))</f>
        <v>0</v>
      </c>
      <c r="AX210" s="2"/>
      <c r="AY210" s="15" t="str">
        <f t="shared" si="109"/>
        <v/>
      </c>
      <c r="AZ210" s="15">
        <f>IF(AY210="",0,AVERAGE(AY$10:AY210))</f>
        <v>0</v>
      </c>
      <c r="BA210" s="15">
        <f>IF(AY209="",0,VAR(AY$10:AY210))</f>
        <v>0</v>
      </c>
    </row>
    <row r="211" spans="3:53" x14ac:dyDescent="0.25">
      <c r="C211" s="2"/>
      <c r="E211" s="2"/>
      <c r="F211" s="15" t="str">
        <f t="shared" ref="F211" si="113">IF(E211="","",+(E211-E210)/E210)</f>
        <v/>
      </c>
      <c r="G211" s="15">
        <f>IF(F211="",0,AVERAGE($F$10:F211))</f>
        <v>0</v>
      </c>
      <c r="H211" s="15">
        <f>IF(F210="",0,VAR($F$10:F211))</f>
        <v>0</v>
      </c>
      <c r="J211" s="2"/>
      <c r="K211" s="15" t="str">
        <f t="shared" si="102"/>
        <v/>
      </c>
      <c r="L211" s="15">
        <f>IF(K211="",0,AVERAGE($K$10:K211))</f>
        <v>0</v>
      </c>
      <c r="M211" s="15">
        <f>IF(K210="",0,VAR($K$10:K211))</f>
        <v>0</v>
      </c>
      <c r="O211" s="2"/>
      <c r="P211" s="15" t="str">
        <f t="shared" si="103"/>
        <v/>
      </c>
      <c r="Q211" s="15">
        <f>IF(P211="",0,AVERAGE(P$10:P211))</f>
        <v>0</v>
      </c>
      <c r="R211" s="15">
        <f>IF(P210="",0,VAR(P$10:P211))</f>
        <v>0</v>
      </c>
      <c r="T211" s="2"/>
      <c r="U211" s="15" t="str">
        <f t="shared" si="110"/>
        <v/>
      </c>
      <c r="V211" s="15">
        <f>IF(U211="",0,AVERAGE(U$10:U211))</f>
        <v>0</v>
      </c>
      <c r="W211" s="15">
        <f>IF(U210="",0,VAR(U$10:U211))</f>
        <v>0</v>
      </c>
      <c r="Y211" s="2"/>
      <c r="Z211" s="15" t="str">
        <f t="shared" si="104"/>
        <v/>
      </c>
      <c r="AA211" s="15">
        <f>IF(Z211="",0,AVERAGE(Z$10:Z211))</f>
        <v>0</v>
      </c>
      <c r="AB211" s="15">
        <f>IF(Z210="",0,VAR(Z$10:Z211))</f>
        <v>0</v>
      </c>
      <c r="AD211" s="2"/>
      <c r="AE211" s="15" t="str">
        <f t="shared" si="111"/>
        <v/>
      </c>
      <c r="AF211" s="15">
        <f>IF(AE211="",0,AVERAGE(AE$10:AE211))</f>
        <v>0</v>
      </c>
      <c r="AG211" s="15">
        <f>IF(AE210="",0,VAR(AE$10:AE211))</f>
        <v>0</v>
      </c>
      <c r="AI211" s="2"/>
      <c r="AJ211" s="15" t="str">
        <f t="shared" si="106"/>
        <v/>
      </c>
      <c r="AK211" s="15">
        <f>IF(AJ211="",0,AVERAGE(AJ$10:AJ211))</f>
        <v>0</v>
      </c>
      <c r="AL211" s="15">
        <f>IF(AJ210="",0,VAR(AJ$10:AJ211))</f>
        <v>0</v>
      </c>
      <c r="AN211" s="2"/>
      <c r="AO211" s="15" t="str">
        <f t="shared" si="107"/>
        <v/>
      </c>
      <c r="AP211" s="15">
        <f>IF(AO211="",0,AVERAGE(AO$10:AO211))</f>
        <v>0</v>
      </c>
      <c r="AQ211" s="15">
        <f>IF(AO210="",0,VAR(AO$10:AO211))</f>
        <v>0</v>
      </c>
      <c r="AS211" s="2"/>
      <c r="AT211" s="15" t="str">
        <f t="shared" si="108"/>
        <v/>
      </c>
      <c r="AU211" s="15">
        <f>IF(AT211="",0,AVERAGE(AT$10:AT211))</f>
        <v>0</v>
      </c>
      <c r="AV211" s="15">
        <f>IF(AT210="",0,VAR(AT$10:AT211))</f>
        <v>0</v>
      </c>
      <c r="AX211" s="2"/>
      <c r="AY211" s="15" t="str">
        <f t="shared" si="109"/>
        <v/>
      </c>
      <c r="AZ211" s="15">
        <f>IF(AY211="",0,AVERAGE(AY$10:AY211))</f>
        <v>0</v>
      </c>
      <c r="BA211" s="15">
        <f>IF(AY210="",0,VAR(AY$10:AY211))</f>
        <v>0</v>
      </c>
    </row>
    <row r="212" spans="3:53" x14ac:dyDescent="0.25">
      <c r="C212" s="2"/>
      <c r="E212" s="2"/>
      <c r="F212" s="15" t="str">
        <f t="shared" si="101"/>
        <v/>
      </c>
      <c r="G212" s="15">
        <f>IF(F212="",0,AVERAGE($F$10:F212))</f>
        <v>0</v>
      </c>
      <c r="H212" s="15">
        <f>IF(F211="",0,VAR($F$10:F212))</f>
        <v>0</v>
      </c>
      <c r="J212" s="2"/>
      <c r="K212" s="15" t="str">
        <f t="shared" si="102"/>
        <v/>
      </c>
      <c r="L212" s="15">
        <f>IF(K212="",0,AVERAGE($K$10:K212))</f>
        <v>0</v>
      </c>
      <c r="M212" s="15">
        <f>IF(K211="",0,VAR($K$10:K212))</f>
        <v>0</v>
      </c>
      <c r="O212" s="2"/>
      <c r="P212" s="15" t="str">
        <f t="shared" si="103"/>
        <v/>
      </c>
      <c r="Q212" s="15">
        <f>IF(P212="",0,AVERAGE(P$10:P212))</f>
        <v>0</v>
      </c>
      <c r="R212" s="15">
        <f>IF(P211="",0,VAR(P$10:P212))</f>
        <v>0</v>
      </c>
      <c r="T212" s="2"/>
      <c r="U212" s="15" t="str">
        <f t="shared" si="110"/>
        <v/>
      </c>
      <c r="V212" s="15">
        <f>IF(U212="",0,AVERAGE(U$10:U212))</f>
        <v>0</v>
      </c>
      <c r="W212" s="15">
        <f>IF(U211="",0,VAR(U$10:U212))</f>
        <v>0</v>
      </c>
      <c r="Y212" s="2"/>
      <c r="Z212" s="15" t="str">
        <f t="shared" si="104"/>
        <v/>
      </c>
      <c r="AA212" s="15">
        <f>IF(Z212="",0,AVERAGE(Z$10:Z212))</f>
        <v>0</v>
      </c>
      <c r="AB212" s="15">
        <f>IF(Z211="",0,VAR(Z$10:Z212))</f>
        <v>0</v>
      </c>
      <c r="AD212" s="2"/>
      <c r="AE212" s="15" t="str">
        <f t="shared" si="111"/>
        <v/>
      </c>
      <c r="AF212" s="15">
        <f>IF(AE212="",0,AVERAGE(AE$10:AE212))</f>
        <v>0</v>
      </c>
      <c r="AG212" s="15">
        <f>IF(AE211="",0,VAR(AE$10:AE212))</f>
        <v>0</v>
      </c>
      <c r="AI212" s="2"/>
      <c r="AJ212" s="15" t="str">
        <f t="shared" si="106"/>
        <v/>
      </c>
      <c r="AK212" s="15">
        <f>IF(AJ212="",0,AVERAGE(AJ$10:AJ212))</f>
        <v>0</v>
      </c>
      <c r="AL212" s="15">
        <f>IF(AJ211="",0,VAR(AJ$10:AJ212))</f>
        <v>0</v>
      </c>
      <c r="AN212" s="2"/>
      <c r="AO212" s="15" t="str">
        <f t="shared" si="107"/>
        <v/>
      </c>
      <c r="AP212" s="15">
        <f>IF(AO212="",0,AVERAGE(AO$10:AO212))</f>
        <v>0</v>
      </c>
      <c r="AQ212" s="15">
        <f>IF(AO211="",0,VAR(AO$10:AO212))</f>
        <v>0</v>
      </c>
      <c r="AS212" s="2"/>
      <c r="AT212" s="15" t="str">
        <f t="shared" si="108"/>
        <v/>
      </c>
      <c r="AU212" s="15">
        <f>IF(AT212="",0,AVERAGE(AT$10:AT212))</f>
        <v>0</v>
      </c>
      <c r="AV212" s="15">
        <f>IF(AT211="",0,VAR(AT$10:AT212))</f>
        <v>0</v>
      </c>
      <c r="AX212" s="2"/>
      <c r="AY212" s="15" t="str">
        <f t="shared" si="109"/>
        <v/>
      </c>
      <c r="AZ212" s="15">
        <f>IF(AY212="",0,AVERAGE(AY$10:AY212))</f>
        <v>0</v>
      </c>
      <c r="BA212" s="15">
        <f>IF(AY211="",0,VAR(AY$10:AY212))</f>
        <v>0</v>
      </c>
    </row>
    <row r="213" spans="3:53" x14ac:dyDescent="0.25">
      <c r="C213" s="2"/>
      <c r="E213" s="2"/>
      <c r="F213" s="15"/>
      <c r="G213" s="15">
        <f>IF(F213="",0,AVERAGE($F$10:F213))</f>
        <v>0</v>
      </c>
      <c r="H213" s="15">
        <f>IF(F212="",0,VAR($F$10:F213))</f>
        <v>0</v>
      </c>
      <c r="J213" s="2"/>
      <c r="K213" s="15" t="str">
        <f t="shared" si="102"/>
        <v/>
      </c>
      <c r="L213" s="15">
        <f>IF(K213="",0,AVERAGE($K$10:K213))</f>
        <v>0</v>
      </c>
      <c r="M213" s="15">
        <f>IF(K212="",0,VAR($K$10:K213))</f>
        <v>0</v>
      </c>
      <c r="O213" s="2"/>
      <c r="P213" s="15" t="str">
        <f t="shared" si="103"/>
        <v/>
      </c>
      <c r="Q213" s="15">
        <f>IF(P213="",0,AVERAGE(P$10:P213))</f>
        <v>0</v>
      </c>
      <c r="R213" s="15">
        <f>IF(P212="",0,VAR(P$10:P213))</f>
        <v>0</v>
      </c>
      <c r="T213" s="2"/>
      <c r="U213" s="15" t="str">
        <f t="shared" si="110"/>
        <v/>
      </c>
      <c r="V213" s="15">
        <f>IF(U213="",0,AVERAGE(U$10:U213))</f>
        <v>0</v>
      </c>
      <c r="W213" s="15">
        <f>IF(U212="",0,VAR(U$10:U213))</f>
        <v>0</v>
      </c>
      <c r="Y213" s="2"/>
      <c r="Z213" s="15" t="str">
        <f t="shared" si="104"/>
        <v/>
      </c>
      <c r="AA213" s="15">
        <f>IF(Z213="",0,AVERAGE(Z$10:Z213))</f>
        <v>0</v>
      </c>
      <c r="AB213" s="15">
        <f>IF(Z212="",0,VAR(Z$10:Z213))</f>
        <v>0</v>
      </c>
      <c r="AD213" s="2"/>
      <c r="AE213" s="15" t="str">
        <f t="shared" si="111"/>
        <v/>
      </c>
      <c r="AF213" s="15">
        <f>IF(AE213="",0,AVERAGE(AE$10:AE213))</f>
        <v>0</v>
      </c>
      <c r="AG213" s="15">
        <f>IF(AE212="",0,VAR(AE$10:AE213))</f>
        <v>0</v>
      </c>
      <c r="AI213" s="2"/>
      <c r="AJ213" s="15" t="str">
        <f t="shared" si="106"/>
        <v/>
      </c>
      <c r="AK213" s="15">
        <f>IF(AJ213="",0,AVERAGE(AJ$10:AJ213))</f>
        <v>0</v>
      </c>
      <c r="AL213" s="15">
        <f>IF(AJ212="",0,VAR(AJ$10:AJ213))</f>
        <v>0</v>
      </c>
      <c r="AN213" s="2"/>
      <c r="AO213" s="15" t="str">
        <f t="shared" si="107"/>
        <v/>
      </c>
      <c r="AP213" s="15">
        <f>IF(AO213="",0,AVERAGE(AO$10:AO213))</f>
        <v>0</v>
      </c>
      <c r="AQ213" s="15">
        <f>IF(AO212="",0,VAR(AO$10:AO213))</f>
        <v>0</v>
      </c>
      <c r="AS213" s="2"/>
      <c r="AT213" s="15" t="str">
        <f t="shared" si="108"/>
        <v/>
      </c>
      <c r="AU213" s="15">
        <f>IF(AT213="",0,AVERAGE(AT$10:AT213))</f>
        <v>0</v>
      </c>
      <c r="AV213" s="15">
        <f>IF(AT212="",0,VAR(AT$10:AT213))</f>
        <v>0</v>
      </c>
      <c r="AX213" s="2"/>
      <c r="AY213" s="15" t="str">
        <f t="shared" si="109"/>
        <v/>
      </c>
      <c r="AZ213" s="15">
        <f>IF(AY213="",0,AVERAGE(AY$10:AY213))</f>
        <v>0</v>
      </c>
      <c r="BA213" s="15">
        <f>IF(AY212="",0,VAR(AY$10:AY213))</f>
        <v>0</v>
      </c>
    </row>
    <row r="214" spans="3:53" x14ac:dyDescent="0.25">
      <c r="C214" s="2"/>
      <c r="E214" s="2"/>
      <c r="F214" s="15" t="str">
        <f t="shared" ref="F214" si="114">IF(E214="","",+(E214-E213)/E213)</f>
        <v/>
      </c>
      <c r="G214" s="15">
        <f>IF(F214="",0,AVERAGE($F$10:F214))</f>
        <v>0</v>
      </c>
      <c r="H214" s="15">
        <f>IF(F213="",0,VAR($F$10:F214))</f>
        <v>0</v>
      </c>
      <c r="J214" s="2"/>
      <c r="K214" s="15" t="str">
        <f t="shared" si="102"/>
        <v/>
      </c>
      <c r="L214" s="15">
        <f>IF(K214="",0,AVERAGE($K$10:K214))</f>
        <v>0</v>
      </c>
      <c r="M214" s="15">
        <f>IF(K213="",0,VAR($K$10:K214))</f>
        <v>0</v>
      </c>
      <c r="O214" s="2"/>
      <c r="P214" s="15" t="str">
        <f t="shared" si="103"/>
        <v/>
      </c>
      <c r="Q214" s="15">
        <f>IF(P214="",0,AVERAGE(P$10:P214))</f>
        <v>0</v>
      </c>
      <c r="R214" s="15">
        <f>IF(P213="",0,VAR(P$10:P214))</f>
        <v>0</v>
      </c>
      <c r="T214" s="2"/>
      <c r="U214" s="15" t="str">
        <f t="shared" si="110"/>
        <v/>
      </c>
      <c r="V214" s="15">
        <f>IF(U214="",0,AVERAGE(U$10:U214))</f>
        <v>0</v>
      </c>
      <c r="W214" s="15">
        <f>IF(U213="",0,VAR(U$10:U214))</f>
        <v>0</v>
      </c>
      <c r="Y214" s="2"/>
      <c r="Z214" s="15" t="str">
        <f t="shared" si="104"/>
        <v/>
      </c>
      <c r="AA214" s="15">
        <f>IF(Z214="",0,AVERAGE(Z$10:Z214))</f>
        <v>0</v>
      </c>
      <c r="AB214" s="15">
        <f>IF(Z213="",0,VAR(Z$10:Z214))</f>
        <v>0</v>
      </c>
      <c r="AD214" s="2"/>
      <c r="AE214" s="15" t="str">
        <f t="shared" si="111"/>
        <v/>
      </c>
      <c r="AF214" s="15">
        <f>IF(AE214="",0,AVERAGE(AE$10:AE214))</f>
        <v>0</v>
      </c>
      <c r="AG214" s="15">
        <f>IF(AE213="",0,VAR(AE$10:AE214))</f>
        <v>0</v>
      </c>
      <c r="AI214" s="2"/>
      <c r="AJ214" s="15" t="str">
        <f t="shared" si="106"/>
        <v/>
      </c>
      <c r="AK214" s="15">
        <f>IF(AJ214="",0,AVERAGE(AJ$10:AJ214))</f>
        <v>0</v>
      </c>
      <c r="AL214" s="15">
        <f>IF(AJ213="",0,VAR(AJ$10:AJ214))</f>
        <v>0</v>
      </c>
      <c r="AN214" s="2"/>
      <c r="AO214" s="15" t="str">
        <f t="shared" si="107"/>
        <v/>
      </c>
      <c r="AP214" s="15">
        <f>IF(AO214="",0,AVERAGE(AO$10:AO214))</f>
        <v>0</v>
      </c>
      <c r="AQ214" s="15">
        <f>IF(AO213="",0,VAR(AO$10:AO214))</f>
        <v>0</v>
      </c>
      <c r="AS214" s="2"/>
      <c r="AT214" s="15" t="str">
        <f t="shared" si="108"/>
        <v/>
      </c>
      <c r="AU214" s="15">
        <f>IF(AT214="",0,AVERAGE(AT$10:AT214))</f>
        <v>0</v>
      </c>
      <c r="AV214" s="15">
        <f>IF(AT213="",0,VAR(AT$10:AT214))</f>
        <v>0</v>
      </c>
      <c r="AX214" s="2"/>
      <c r="AY214" s="15" t="str">
        <f t="shared" si="109"/>
        <v/>
      </c>
      <c r="AZ214" s="15">
        <f>IF(AY214="",0,AVERAGE(AY$10:AY214))</f>
        <v>0</v>
      </c>
      <c r="BA214" s="15">
        <f>IF(AY213="",0,VAR(AY$10:AY214))</f>
        <v>0</v>
      </c>
    </row>
    <row r="215" spans="3:53" x14ac:dyDescent="0.25">
      <c r="C215" s="2"/>
      <c r="E215" s="2"/>
      <c r="F215" s="15" t="str">
        <f t="shared" si="101"/>
        <v/>
      </c>
      <c r="G215" s="15">
        <f>IF(F215="",0,AVERAGE($F$10:F215))</f>
        <v>0</v>
      </c>
      <c r="H215" s="15">
        <f>IF(F214="",0,VAR($F$10:F215))</f>
        <v>0</v>
      </c>
      <c r="J215" s="2"/>
      <c r="K215" s="15" t="str">
        <f t="shared" si="102"/>
        <v/>
      </c>
      <c r="L215" s="15">
        <f>IF(K215="",0,AVERAGE($K$10:K215))</f>
        <v>0</v>
      </c>
      <c r="M215" s="15">
        <f>IF(K214="",0,VAR($K$10:K215))</f>
        <v>0</v>
      </c>
      <c r="O215" s="2"/>
      <c r="P215" s="15" t="str">
        <f t="shared" si="103"/>
        <v/>
      </c>
      <c r="Q215" s="15">
        <f>IF(P215="",0,AVERAGE(P$10:P215))</f>
        <v>0</v>
      </c>
      <c r="R215" s="15">
        <f>IF(P214="",0,VAR(P$10:P215))</f>
        <v>0</v>
      </c>
      <c r="T215" s="2"/>
      <c r="U215" s="15" t="str">
        <f t="shared" si="110"/>
        <v/>
      </c>
      <c r="V215" s="15">
        <f>IF(U215="",0,AVERAGE(U$10:U215))</f>
        <v>0</v>
      </c>
      <c r="W215" s="15">
        <f>IF(U214="",0,VAR(U$10:U215))</f>
        <v>0</v>
      </c>
      <c r="Y215" s="2"/>
      <c r="Z215" s="15" t="str">
        <f t="shared" si="104"/>
        <v/>
      </c>
      <c r="AA215" s="15">
        <f>IF(Z215="",0,AVERAGE(Z$10:Z215))</f>
        <v>0</v>
      </c>
      <c r="AB215" s="15">
        <f>IF(Z214="",0,VAR(Z$10:Z215))</f>
        <v>0</v>
      </c>
      <c r="AD215" s="2"/>
      <c r="AE215" s="15" t="str">
        <f t="shared" si="111"/>
        <v/>
      </c>
      <c r="AF215" s="15">
        <f>IF(AE215="",0,AVERAGE(AE$10:AE215))</f>
        <v>0</v>
      </c>
      <c r="AG215" s="15">
        <f>IF(AE214="",0,VAR(AE$10:AE215))</f>
        <v>0</v>
      </c>
      <c r="AI215" s="2"/>
      <c r="AJ215" s="15" t="str">
        <f t="shared" si="106"/>
        <v/>
      </c>
      <c r="AK215" s="15">
        <f>IF(AJ215="",0,AVERAGE(AJ$10:AJ215))</f>
        <v>0</v>
      </c>
      <c r="AL215" s="15">
        <f>IF(AJ214="",0,VAR(AJ$10:AJ215))</f>
        <v>0</v>
      </c>
      <c r="AN215" s="2"/>
      <c r="AO215" s="15" t="str">
        <f t="shared" si="107"/>
        <v/>
      </c>
      <c r="AP215" s="15">
        <f>IF(AO215="",0,AVERAGE(AO$10:AO215))</f>
        <v>0</v>
      </c>
      <c r="AQ215" s="15">
        <f>IF(AO214="",0,VAR(AO$10:AO215))</f>
        <v>0</v>
      </c>
      <c r="AS215" s="2"/>
      <c r="AT215" s="15" t="str">
        <f t="shared" si="108"/>
        <v/>
      </c>
      <c r="AU215" s="15">
        <f>IF(AT215="",0,AVERAGE(AT$10:AT215))</f>
        <v>0</v>
      </c>
      <c r="AV215" s="15">
        <f>IF(AT214="",0,VAR(AT$10:AT215))</f>
        <v>0</v>
      </c>
      <c r="AX215" s="2"/>
      <c r="AY215" s="15" t="str">
        <f t="shared" si="109"/>
        <v/>
      </c>
      <c r="AZ215" s="15">
        <f>IF(AY215="",0,AVERAGE(AY$10:AY215))</f>
        <v>0</v>
      </c>
      <c r="BA215" s="15">
        <f>IF(AY214="",0,VAR(AY$10:AY215))</f>
        <v>0</v>
      </c>
    </row>
    <row r="216" spans="3:53" x14ac:dyDescent="0.25">
      <c r="C216" s="2"/>
      <c r="E216" s="2"/>
      <c r="F216" s="15"/>
      <c r="G216" s="15">
        <f>IF(F216="",0,AVERAGE($F$10:F216))</f>
        <v>0</v>
      </c>
      <c r="H216" s="15">
        <f>IF(F215="",0,VAR($F$10:F216))</f>
        <v>0</v>
      </c>
      <c r="J216" s="2"/>
      <c r="K216" s="15" t="str">
        <f t="shared" si="102"/>
        <v/>
      </c>
      <c r="L216" s="15">
        <f>IF(K216="",0,AVERAGE($K$10:K216))</f>
        <v>0</v>
      </c>
      <c r="M216" s="15">
        <f>IF(K215="",0,VAR($K$10:K216))</f>
        <v>0</v>
      </c>
      <c r="O216" s="2"/>
      <c r="P216" s="15" t="str">
        <f t="shared" si="103"/>
        <v/>
      </c>
      <c r="Q216" s="15">
        <f>IF(P216="",0,AVERAGE(P$10:P216))</f>
        <v>0</v>
      </c>
      <c r="R216" s="15">
        <f>IF(P215="",0,VAR(P$10:P216))</f>
        <v>0</v>
      </c>
      <c r="T216" s="2"/>
      <c r="U216" s="15" t="str">
        <f t="shared" si="110"/>
        <v/>
      </c>
      <c r="V216" s="15">
        <f>IF(U216="",0,AVERAGE(U$10:U216))</f>
        <v>0</v>
      </c>
      <c r="W216" s="15">
        <f>IF(U215="",0,VAR(U$10:U216))</f>
        <v>0</v>
      </c>
      <c r="Y216" s="2"/>
      <c r="Z216" s="15" t="str">
        <f t="shared" si="104"/>
        <v/>
      </c>
      <c r="AA216" s="15">
        <f>IF(Z216="",0,AVERAGE(Z$10:Z216))</f>
        <v>0</v>
      </c>
      <c r="AB216" s="15">
        <f>IF(Z215="",0,VAR(Z$10:Z216))</f>
        <v>0</v>
      </c>
      <c r="AD216" s="2"/>
      <c r="AE216" s="15" t="str">
        <f t="shared" si="111"/>
        <v/>
      </c>
      <c r="AF216" s="15">
        <f>IF(AE216="",0,AVERAGE(AE$10:AE216))</f>
        <v>0</v>
      </c>
      <c r="AG216" s="15">
        <f>IF(AE215="",0,VAR(AE$10:AE216))</f>
        <v>0</v>
      </c>
      <c r="AI216" s="2"/>
      <c r="AJ216" s="15" t="str">
        <f t="shared" si="106"/>
        <v/>
      </c>
      <c r="AK216" s="15">
        <f>IF(AJ216="",0,AVERAGE(AJ$10:AJ216))</f>
        <v>0</v>
      </c>
      <c r="AL216" s="15">
        <f>IF(AJ215="",0,VAR(AJ$10:AJ216))</f>
        <v>0</v>
      </c>
      <c r="AN216" s="2"/>
      <c r="AO216" s="15" t="str">
        <f t="shared" si="107"/>
        <v/>
      </c>
      <c r="AP216" s="15">
        <f>IF(AO216="",0,AVERAGE(AO$10:AO216))</f>
        <v>0</v>
      </c>
      <c r="AQ216" s="15">
        <f>IF(AO215="",0,VAR(AO$10:AO216))</f>
        <v>0</v>
      </c>
      <c r="AS216" s="2"/>
      <c r="AT216" s="15" t="str">
        <f t="shared" si="108"/>
        <v/>
      </c>
      <c r="AU216" s="15">
        <f>IF(AT216="",0,AVERAGE(AT$10:AT216))</f>
        <v>0</v>
      </c>
      <c r="AV216" s="15">
        <f>IF(AT215="",0,VAR(AT$10:AT216))</f>
        <v>0</v>
      </c>
      <c r="AX216" s="2"/>
      <c r="AY216" s="15" t="str">
        <f t="shared" si="109"/>
        <v/>
      </c>
      <c r="AZ216" s="15">
        <f>IF(AY216="",0,AVERAGE(AY$10:AY216))</f>
        <v>0</v>
      </c>
      <c r="BA216" s="15">
        <f>IF(AY215="",0,VAR(AY$10:AY216))</f>
        <v>0</v>
      </c>
    </row>
    <row r="217" spans="3:53" x14ac:dyDescent="0.25">
      <c r="C217" s="2"/>
      <c r="E217" s="2"/>
      <c r="F217" s="15" t="str">
        <f t="shared" ref="F217" si="115">IF(E217="","",+(E217-E216)/E216)</f>
        <v/>
      </c>
      <c r="G217" s="15">
        <f>IF(F217="",0,AVERAGE($F$10:F217))</f>
        <v>0</v>
      </c>
      <c r="H217" s="15">
        <f>IF(F216="",0,VAR($F$10:F217))</f>
        <v>0</v>
      </c>
      <c r="J217" s="2"/>
      <c r="K217" s="15" t="str">
        <f t="shared" si="102"/>
        <v/>
      </c>
      <c r="L217" s="15">
        <f>IF(K217="",0,AVERAGE($K$10:K217))</f>
        <v>0</v>
      </c>
      <c r="M217" s="15">
        <f>IF(K216="",0,VAR($K$10:K217))</f>
        <v>0</v>
      </c>
      <c r="O217" s="2"/>
      <c r="P217" s="15" t="str">
        <f t="shared" si="103"/>
        <v/>
      </c>
      <c r="Q217" s="15">
        <f>IF(P217="",0,AVERAGE(P$10:P217))</f>
        <v>0</v>
      </c>
      <c r="R217" s="15">
        <f>IF(P216="",0,VAR(P$10:P217))</f>
        <v>0</v>
      </c>
      <c r="T217" s="2"/>
      <c r="U217" s="15" t="str">
        <f t="shared" si="110"/>
        <v/>
      </c>
      <c r="V217" s="15">
        <f>IF(U217="",0,AVERAGE(U$10:U217))</f>
        <v>0</v>
      </c>
      <c r="W217" s="15">
        <f>IF(U216="",0,VAR(U$10:U217))</f>
        <v>0</v>
      </c>
      <c r="Y217" s="2"/>
      <c r="Z217" s="15" t="str">
        <f t="shared" si="104"/>
        <v/>
      </c>
      <c r="AA217" s="15">
        <f>IF(Z217="",0,AVERAGE(Z$10:Z217))</f>
        <v>0</v>
      </c>
      <c r="AB217" s="15">
        <f>IF(Z216="",0,VAR(Z$10:Z217))</f>
        <v>0</v>
      </c>
      <c r="AD217" s="2"/>
      <c r="AE217" s="15" t="str">
        <f t="shared" si="111"/>
        <v/>
      </c>
      <c r="AF217" s="15">
        <f>IF(AE217="",0,AVERAGE(AE$10:AE217))</f>
        <v>0</v>
      </c>
      <c r="AG217" s="15">
        <f>IF(AE216="",0,VAR(AE$10:AE217))</f>
        <v>0</v>
      </c>
      <c r="AI217" s="2"/>
      <c r="AJ217" s="15" t="str">
        <f t="shared" si="106"/>
        <v/>
      </c>
      <c r="AK217" s="15">
        <f>IF(AJ217="",0,AVERAGE(AJ$10:AJ217))</f>
        <v>0</v>
      </c>
      <c r="AL217" s="15">
        <f>IF(AJ216="",0,VAR(AJ$10:AJ217))</f>
        <v>0</v>
      </c>
      <c r="AN217" s="2"/>
      <c r="AO217" s="15" t="str">
        <f t="shared" si="107"/>
        <v/>
      </c>
      <c r="AP217" s="15">
        <f>IF(AO217="",0,AVERAGE(AO$10:AO217))</f>
        <v>0</v>
      </c>
      <c r="AQ217" s="15">
        <f>IF(AO216="",0,VAR(AO$10:AO217))</f>
        <v>0</v>
      </c>
      <c r="AS217" s="2"/>
      <c r="AT217" s="15" t="str">
        <f t="shared" si="108"/>
        <v/>
      </c>
      <c r="AU217" s="15">
        <f>IF(AT217="",0,AVERAGE(AT$10:AT217))</f>
        <v>0</v>
      </c>
      <c r="AV217" s="15">
        <f>IF(AT216="",0,VAR(AT$10:AT217))</f>
        <v>0</v>
      </c>
      <c r="AX217" s="2"/>
      <c r="AY217" s="15" t="str">
        <f t="shared" si="109"/>
        <v/>
      </c>
      <c r="AZ217" s="15">
        <f>IF(AY217="",0,AVERAGE(AY$10:AY217))</f>
        <v>0</v>
      </c>
      <c r="BA217" s="15">
        <f>IF(AY216="",0,VAR(AY$10:AY217))</f>
        <v>0</v>
      </c>
    </row>
    <row r="218" spans="3:53" x14ac:dyDescent="0.25">
      <c r="C218" s="2"/>
      <c r="E218" s="2"/>
      <c r="F218" s="15" t="str">
        <f t="shared" si="101"/>
        <v/>
      </c>
      <c r="G218" s="15">
        <f>IF(F218="",0,AVERAGE($F$10:F218))</f>
        <v>0</v>
      </c>
      <c r="H218" s="15">
        <f>IF(F217="",0,VAR($F$10:F218))</f>
        <v>0</v>
      </c>
      <c r="J218" s="2"/>
      <c r="K218" s="15" t="str">
        <f t="shared" si="102"/>
        <v/>
      </c>
      <c r="L218" s="15">
        <f>IF(K218="",0,AVERAGE($K$10:K218))</f>
        <v>0</v>
      </c>
      <c r="M218" s="15">
        <f>IF(K217="",0,VAR($K$10:K218))</f>
        <v>0</v>
      </c>
      <c r="O218" s="2"/>
      <c r="P218" s="15" t="str">
        <f t="shared" si="103"/>
        <v/>
      </c>
      <c r="Q218" s="15">
        <f>IF(P218="",0,AVERAGE(P$10:P218))</f>
        <v>0</v>
      </c>
      <c r="R218" s="15">
        <f>IF(P217="",0,VAR(P$10:P218))</f>
        <v>0</v>
      </c>
      <c r="T218" s="2"/>
      <c r="U218" s="15" t="str">
        <f t="shared" si="110"/>
        <v/>
      </c>
      <c r="V218" s="15">
        <f>IF(U218="",0,AVERAGE(U$10:U218))</f>
        <v>0</v>
      </c>
      <c r="W218" s="15">
        <f>IF(U217="",0,VAR(U$10:U218))</f>
        <v>0</v>
      </c>
      <c r="Y218" s="2"/>
      <c r="Z218" s="15" t="str">
        <f t="shared" si="104"/>
        <v/>
      </c>
      <c r="AA218" s="15">
        <f>IF(Z218="",0,AVERAGE(Z$10:Z218))</f>
        <v>0</v>
      </c>
      <c r="AB218" s="15">
        <f>IF(Z217="",0,VAR(Z$10:Z218))</f>
        <v>0</v>
      </c>
      <c r="AD218" s="2"/>
      <c r="AE218" s="15" t="str">
        <f t="shared" si="111"/>
        <v/>
      </c>
      <c r="AF218" s="15">
        <f>IF(AE218="",0,AVERAGE(AE$10:AE218))</f>
        <v>0</v>
      </c>
      <c r="AG218" s="15">
        <f>IF(AE217="",0,VAR(AE$10:AE218))</f>
        <v>0</v>
      </c>
      <c r="AI218" s="2"/>
      <c r="AJ218" s="15" t="str">
        <f t="shared" si="106"/>
        <v/>
      </c>
      <c r="AK218" s="15">
        <f>IF(AJ218="",0,AVERAGE(AJ$10:AJ218))</f>
        <v>0</v>
      </c>
      <c r="AL218" s="15">
        <f>IF(AJ217="",0,VAR(AJ$10:AJ218))</f>
        <v>0</v>
      </c>
      <c r="AN218" s="2"/>
      <c r="AO218" s="15" t="str">
        <f t="shared" si="107"/>
        <v/>
      </c>
      <c r="AP218" s="15">
        <f>IF(AO218="",0,AVERAGE(AO$10:AO218))</f>
        <v>0</v>
      </c>
      <c r="AQ218" s="15">
        <f>IF(AO217="",0,VAR(AO$10:AO218))</f>
        <v>0</v>
      </c>
      <c r="AS218" s="2"/>
      <c r="AT218" s="15" t="str">
        <f t="shared" si="108"/>
        <v/>
      </c>
      <c r="AU218" s="15">
        <f>IF(AT218="",0,AVERAGE(AT$10:AT218))</f>
        <v>0</v>
      </c>
      <c r="AV218" s="15">
        <f>IF(AT217="",0,VAR(AT$10:AT218))</f>
        <v>0</v>
      </c>
      <c r="AX218" s="2"/>
      <c r="AY218" s="15" t="str">
        <f t="shared" si="109"/>
        <v/>
      </c>
      <c r="AZ218" s="15">
        <f>IF(AY218="",0,AVERAGE(AY$10:AY218))</f>
        <v>0</v>
      </c>
      <c r="BA218" s="15">
        <f>IF(AY217="",0,VAR(AY$10:AY218))</f>
        <v>0</v>
      </c>
    </row>
    <row r="219" spans="3:53" x14ac:dyDescent="0.25">
      <c r="C219" s="2"/>
      <c r="E219" s="2"/>
      <c r="F219" s="15"/>
      <c r="G219" s="15">
        <f>IF(F219="",0,AVERAGE($F$10:F219))</f>
        <v>0</v>
      </c>
      <c r="H219" s="15">
        <f>IF(F218="",0,VAR($F$10:F219))</f>
        <v>0</v>
      </c>
      <c r="J219" s="2"/>
      <c r="K219" s="15" t="str">
        <f t="shared" si="102"/>
        <v/>
      </c>
      <c r="L219" s="15">
        <f>IF(K219="",0,AVERAGE($K$10:K219))</f>
        <v>0</v>
      </c>
      <c r="M219" s="15">
        <f>IF(K218="",0,VAR($K$10:K219))</f>
        <v>0</v>
      </c>
      <c r="O219" s="2"/>
      <c r="P219" s="15" t="str">
        <f t="shared" si="103"/>
        <v/>
      </c>
      <c r="Q219" s="15">
        <f>IF(P219="",0,AVERAGE(P$10:P219))</f>
        <v>0</v>
      </c>
      <c r="R219" s="15">
        <f>IF(P218="",0,VAR(P$10:P219))</f>
        <v>0</v>
      </c>
      <c r="T219" s="2"/>
      <c r="U219" s="15" t="str">
        <f t="shared" si="110"/>
        <v/>
      </c>
      <c r="V219" s="15">
        <f>IF(U219="",0,AVERAGE(U$10:U219))</f>
        <v>0</v>
      </c>
      <c r="W219" s="15">
        <f>IF(U218="",0,VAR(U$10:U219))</f>
        <v>0</v>
      </c>
      <c r="Y219" s="2"/>
      <c r="Z219" s="15" t="str">
        <f t="shared" si="104"/>
        <v/>
      </c>
      <c r="AA219" s="15">
        <f>IF(Z219="",0,AVERAGE(Z$10:Z219))</f>
        <v>0</v>
      </c>
      <c r="AB219" s="15">
        <f>IF(Z218="",0,VAR(Z$10:Z219))</f>
        <v>0</v>
      </c>
      <c r="AD219" s="2"/>
      <c r="AE219" s="15" t="str">
        <f t="shared" si="111"/>
        <v/>
      </c>
      <c r="AF219" s="15">
        <f>IF(AE219="",0,AVERAGE(AE$10:AE219))</f>
        <v>0</v>
      </c>
      <c r="AG219" s="15">
        <f>IF(AE218="",0,VAR(AE$10:AE219))</f>
        <v>0</v>
      </c>
      <c r="AI219" s="2"/>
      <c r="AJ219" s="15" t="str">
        <f t="shared" si="106"/>
        <v/>
      </c>
      <c r="AK219" s="15">
        <f>IF(AJ219="",0,AVERAGE(AJ$10:AJ219))</f>
        <v>0</v>
      </c>
      <c r="AL219" s="15">
        <f>IF(AJ218="",0,VAR(AJ$10:AJ219))</f>
        <v>0</v>
      </c>
      <c r="AN219" s="2"/>
      <c r="AO219" s="15" t="str">
        <f t="shared" si="107"/>
        <v/>
      </c>
      <c r="AP219" s="15">
        <f>IF(AO219="",0,AVERAGE(AO$10:AO219))</f>
        <v>0</v>
      </c>
      <c r="AQ219" s="15">
        <f>IF(AO218="",0,VAR(AO$10:AO219))</f>
        <v>0</v>
      </c>
      <c r="AS219" s="2"/>
      <c r="AT219" s="15" t="str">
        <f t="shared" si="108"/>
        <v/>
      </c>
      <c r="AU219" s="15">
        <f>IF(AT219="",0,AVERAGE(AT$10:AT219))</f>
        <v>0</v>
      </c>
      <c r="AV219" s="15">
        <f>IF(AT218="",0,VAR(AT$10:AT219))</f>
        <v>0</v>
      </c>
      <c r="AX219" s="2"/>
      <c r="AY219" s="15" t="str">
        <f t="shared" si="109"/>
        <v/>
      </c>
      <c r="AZ219" s="15">
        <f>IF(AY219="",0,AVERAGE(AY$10:AY219))</f>
        <v>0</v>
      </c>
      <c r="BA219" s="15">
        <f>IF(AY218="",0,VAR(AY$10:AY219))</f>
        <v>0</v>
      </c>
    </row>
    <row r="220" spans="3:53" x14ac:dyDescent="0.25">
      <c r="C220" s="2"/>
      <c r="E220" s="2"/>
      <c r="F220" s="15" t="str">
        <f t="shared" ref="F220" si="116">IF(E220="","",+(E220-E219)/E219)</f>
        <v/>
      </c>
      <c r="G220" s="15">
        <f>IF(F220="",0,AVERAGE($F$10:F220))</f>
        <v>0</v>
      </c>
      <c r="H220" s="15">
        <f>IF(F219="",0,VAR($F$10:F220))</f>
        <v>0</v>
      </c>
      <c r="J220" s="2"/>
      <c r="K220" s="15" t="str">
        <f t="shared" si="102"/>
        <v/>
      </c>
      <c r="L220" s="15">
        <f>IF(K220="",0,AVERAGE($K$10:K220))</f>
        <v>0</v>
      </c>
      <c r="M220" s="15">
        <f>IF(K219="",0,VAR($K$10:K220))</f>
        <v>0</v>
      </c>
      <c r="O220" s="2"/>
      <c r="P220" s="15" t="str">
        <f t="shared" si="103"/>
        <v/>
      </c>
      <c r="Q220" s="15">
        <f>IF(P220="",0,AVERAGE(P$10:P220))</f>
        <v>0</v>
      </c>
      <c r="R220" s="15">
        <f>IF(P219="",0,VAR(P$10:P220))</f>
        <v>0</v>
      </c>
      <c r="T220" s="2"/>
      <c r="U220" s="15" t="str">
        <f t="shared" si="110"/>
        <v/>
      </c>
      <c r="V220" s="15">
        <f>IF(U220="",0,AVERAGE(U$10:U220))</f>
        <v>0</v>
      </c>
      <c r="W220" s="15">
        <f>IF(U219="",0,VAR(U$10:U220))</f>
        <v>0</v>
      </c>
      <c r="Y220" s="2"/>
      <c r="Z220" s="15" t="str">
        <f t="shared" si="104"/>
        <v/>
      </c>
      <c r="AA220" s="15">
        <f>IF(Z220="",0,AVERAGE(Z$10:Z220))</f>
        <v>0</v>
      </c>
      <c r="AB220" s="15">
        <f>IF(Z219="",0,VAR(Z$10:Z220))</f>
        <v>0</v>
      </c>
      <c r="AD220" s="2"/>
      <c r="AE220" s="15" t="str">
        <f t="shared" si="111"/>
        <v/>
      </c>
      <c r="AF220" s="15">
        <f>IF(AE220="",0,AVERAGE(AE$10:AE220))</f>
        <v>0</v>
      </c>
      <c r="AG220" s="15">
        <f>IF(AE219="",0,VAR(AE$10:AE220))</f>
        <v>0</v>
      </c>
      <c r="AI220" s="2"/>
      <c r="AJ220" s="15" t="str">
        <f t="shared" si="106"/>
        <v/>
      </c>
      <c r="AK220" s="15">
        <f>IF(AJ220="",0,AVERAGE(AJ$10:AJ220))</f>
        <v>0</v>
      </c>
      <c r="AL220" s="15">
        <f>IF(AJ219="",0,VAR(AJ$10:AJ220))</f>
        <v>0</v>
      </c>
      <c r="AN220" s="2"/>
      <c r="AO220" s="15" t="str">
        <f t="shared" si="107"/>
        <v/>
      </c>
      <c r="AP220" s="15">
        <f>IF(AO220="",0,AVERAGE(AO$10:AO220))</f>
        <v>0</v>
      </c>
      <c r="AQ220" s="15">
        <f>IF(AO219="",0,VAR(AO$10:AO220))</f>
        <v>0</v>
      </c>
      <c r="AS220" s="2"/>
      <c r="AT220" s="15" t="str">
        <f t="shared" si="108"/>
        <v/>
      </c>
      <c r="AU220" s="15">
        <f>IF(AT220="",0,AVERAGE(AT$10:AT220))</f>
        <v>0</v>
      </c>
      <c r="AV220" s="15">
        <f>IF(AT219="",0,VAR(AT$10:AT220))</f>
        <v>0</v>
      </c>
      <c r="AX220" s="2"/>
      <c r="AY220" s="15" t="str">
        <f t="shared" si="109"/>
        <v/>
      </c>
      <c r="AZ220" s="15">
        <f>IF(AY220="",0,AVERAGE(AY$10:AY220))</f>
        <v>0</v>
      </c>
      <c r="BA220" s="15">
        <f>IF(AY219="",0,VAR(AY$10:AY220))</f>
        <v>0</v>
      </c>
    </row>
    <row r="221" spans="3:53" x14ac:dyDescent="0.25">
      <c r="C221" s="2"/>
      <c r="E221" s="2"/>
      <c r="F221" s="15" t="str">
        <f t="shared" si="101"/>
        <v/>
      </c>
      <c r="G221" s="15">
        <f>IF(F221="",0,AVERAGE($F$10:F221))</f>
        <v>0</v>
      </c>
      <c r="H221" s="15">
        <f>IF(F220="",0,VAR($F$10:F221))</f>
        <v>0</v>
      </c>
      <c r="J221" s="2"/>
      <c r="K221" s="15" t="str">
        <f t="shared" si="102"/>
        <v/>
      </c>
      <c r="L221" s="15">
        <f>IF(K221="",0,AVERAGE($K$10:K221))</f>
        <v>0</v>
      </c>
      <c r="M221" s="15">
        <f>IF(K220="",0,VAR($K$10:K221))</f>
        <v>0</v>
      </c>
      <c r="O221" s="2"/>
      <c r="P221" s="15" t="str">
        <f t="shared" si="103"/>
        <v/>
      </c>
      <c r="Q221" s="15">
        <f>IF(P221="",0,AVERAGE(P$10:P221))</f>
        <v>0</v>
      </c>
      <c r="R221" s="15">
        <f>IF(P220="",0,VAR(P$10:P221))</f>
        <v>0</v>
      </c>
      <c r="T221" s="2"/>
      <c r="U221" s="15" t="str">
        <f t="shared" si="110"/>
        <v/>
      </c>
      <c r="V221" s="15">
        <f>IF(U221="",0,AVERAGE(U$10:U221))</f>
        <v>0</v>
      </c>
      <c r="W221" s="15">
        <f>IF(U220="",0,VAR(U$10:U221))</f>
        <v>0</v>
      </c>
      <c r="Y221" s="2"/>
      <c r="Z221" s="15" t="str">
        <f t="shared" si="104"/>
        <v/>
      </c>
      <c r="AA221" s="15">
        <f>IF(Z221="",0,AVERAGE(Z$10:Z221))</f>
        <v>0</v>
      </c>
      <c r="AB221" s="15">
        <f>IF(Z220="",0,VAR(Z$10:Z221))</f>
        <v>0</v>
      </c>
      <c r="AD221" s="2"/>
      <c r="AE221" s="15" t="str">
        <f t="shared" si="111"/>
        <v/>
      </c>
      <c r="AF221" s="15">
        <f>IF(AE221="",0,AVERAGE(AE$10:AE221))</f>
        <v>0</v>
      </c>
      <c r="AG221" s="15">
        <f>IF(AE220="",0,VAR(AE$10:AE221))</f>
        <v>0</v>
      </c>
      <c r="AI221" s="2"/>
      <c r="AJ221" s="15" t="str">
        <f t="shared" si="106"/>
        <v/>
      </c>
      <c r="AK221" s="15">
        <f>IF(AJ221="",0,AVERAGE(AJ$10:AJ221))</f>
        <v>0</v>
      </c>
      <c r="AL221" s="15">
        <f>IF(AJ220="",0,VAR(AJ$10:AJ221))</f>
        <v>0</v>
      </c>
      <c r="AN221" s="2"/>
      <c r="AO221" s="15" t="str">
        <f t="shared" si="107"/>
        <v/>
      </c>
      <c r="AP221" s="15">
        <f>IF(AO221="",0,AVERAGE(AO$10:AO221))</f>
        <v>0</v>
      </c>
      <c r="AQ221" s="15">
        <f>IF(AO220="",0,VAR(AO$10:AO221))</f>
        <v>0</v>
      </c>
      <c r="AS221" s="2"/>
      <c r="AT221" s="15" t="str">
        <f t="shared" si="108"/>
        <v/>
      </c>
      <c r="AU221" s="15">
        <f>IF(AT221="",0,AVERAGE(AT$10:AT221))</f>
        <v>0</v>
      </c>
      <c r="AV221" s="15">
        <f>IF(AT220="",0,VAR(AT$10:AT221))</f>
        <v>0</v>
      </c>
      <c r="AX221" s="2"/>
      <c r="AY221" s="15" t="str">
        <f t="shared" si="109"/>
        <v/>
      </c>
      <c r="AZ221" s="15">
        <f>IF(AY221="",0,AVERAGE(AY$10:AY221))</f>
        <v>0</v>
      </c>
      <c r="BA221" s="15">
        <f>IF(AY220="",0,VAR(AY$10:AY221))</f>
        <v>0</v>
      </c>
    </row>
    <row r="222" spans="3:53" x14ac:dyDescent="0.25">
      <c r="C222" s="2"/>
      <c r="E222" s="2"/>
      <c r="F222" s="15"/>
      <c r="G222" s="15">
        <f>IF(F222="",0,AVERAGE($F$10:F222))</f>
        <v>0</v>
      </c>
      <c r="H222" s="15">
        <f>IF(F221="",0,VAR($F$10:F222))</f>
        <v>0</v>
      </c>
      <c r="J222" s="2"/>
      <c r="K222" s="15" t="str">
        <f t="shared" si="102"/>
        <v/>
      </c>
      <c r="L222" s="15">
        <f>IF(K222="",0,AVERAGE($K$10:K222))</f>
        <v>0</v>
      </c>
      <c r="M222" s="15">
        <f>IF(K221="",0,VAR($K$10:K222))</f>
        <v>0</v>
      </c>
      <c r="O222" s="2"/>
      <c r="P222" s="15" t="str">
        <f t="shared" si="103"/>
        <v/>
      </c>
      <c r="Q222" s="15">
        <f>IF(P222="",0,AVERAGE(P$10:P222))</f>
        <v>0</v>
      </c>
      <c r="R222" s="15">
        <f>IF(P221="",0,VAR(P$10:P222))</f>
        <v>0</v>
      </c>
      <c r="T222" s="2"/>
      <c r="U222" s="15" t="str">
        <f t="shared" si="110"/>
        <v/>
      </c>
      <c r="V222" s="15">
        <f>IF(U222="",0,AVERAGE(U$10:U222))</f>
        <v>0</v>
      </c>
      <c r="W222" s="15">
        <f>IF(U221="",0,VAR(U$10:U222))</f>
        <v>0</v>
      </c>
      <c r="Y222" s="2"/>
      <c r="Z222" s="15" t="str">
        <f t="shared" si="104"/>
        <v/>
      </c>
      <c r="AA222" s="15">
        <f>IF(Z222="",0,AVERAGE(Z$10:Z222))</f>
        <v>0</v>
      </c>
      <c r="AB222" s="15">
        <f>IF(Z221="",0,VAR(Z$10:Z222))</f>
        <v>0</v>
      </c>
      <c r="AD222" s="2"/>
      <c r="AE222" s="15" t="str">
        <f t="shared" si="111"/>
        <v/>
      </c>
      <c r="AF222" s="15">
        <f>IF(AE222="",0,AVERAGE(AE$10:AE222))</f>
        <v>0</v>
      </c>
      <c r="AG222" s="15">
        <f>IF(AE221="",0,VAR(AE$10:AE222))</f>
        <v>0</v>
      </c>
      <c r="AI222" s="2"/>
      <c r="AJ222" s="15" t="str">
        <f t="shared" si="106"/>
        <v/>
      </c>
      <c r="AK222" s="15">
        <f>IF(AJ222="",0,AVERAGE(AJ$10:AJ222))</f>
        <v>0</v>
      </c>
      <c r="AL222" s="15">
        <f>IF(AJ221="",0,VAR(AJ$10:AJ222))</f>
        <v>0</v>
      </c>
      <c r="AN222" s="2"/>
      <c r="AO222" s="15" t="str">
        <f t="shared" si="107"/>
        <v/>
      </c>
      <c r="AP222" s="15">
        <f>IF(AO222="",0,AVERAGE(AO$10:AO222))</f>
        <v>0</v>
      </c>
      <c r="AQ222" s="15">
        <f>IF(AO221="",0,VAR(AO$10:AO222))</f>
        <v>0</v>
      </c>
      <c r="AS222" s="2"/>
      <c r="AT222" s="15" t="str">
        <f t="shared" si="108"/>
        <v/>
      </c>
      <c r="AU222" s="15">
        <f>IF(AT222="",0,AVERAGE(AT$10:AT222))</f>
        <v>0</v>
      </c>
      <c r="AV222" s="15">
        <f>IF(AT221="",0,VAR(AT$10:AT222))</f>
        <v>0</v>
      </c>
      <c r="AX222" s="2"/>
      <c r="AY222" s="15" t="str">
        <f t="shared" si="109"/>
        <v/>
      </c>
      <c r="AZ222" s="15">
        <f>IF(AY222="",0,AVERAGE(AY$10:AY222))</f>
        <v>0</v>
      </c>
      <c r="BA222" s="15">
        <f>IF(AY221="",0,VAR(AY$10:AY222))</f>
        <v>0</v>
      </c>
    </row>
    <row r="223" spans="3:53" x14ac:dyDescent="0.25">
      <c r="C223" s="2"/>
      <c r="E223" s="2"/>
      <c r="F223" s="15" t="str">
        <f t="shared" ref="F223" si="117">IF(E223="","",+(E223-E222)/E222)</f>
        <v/>
      </c>
      <c r="G223" s="15">
        <f>IF(F223="",0,AVERAGE($F$10:F223))</f>
        <v>0</v>
      </c>
      <c r="H223" s="15">
        <f>IF(F222="",0,VAR($F$10:F223))</f>
        <v>0</v>
      </c>
      <c r="J223" s="2"/>
      <c r="K223" s="15" t="str">
        <f t="shared" si="102"/>
        <v/>
      </c>
      <c r="L223" s="15">
        <f>IF(K223="",0,AVERAGE($K$10:K223))</f>
        <v>0</v>
      </c>
      <c r="M223" s="15">
        <f>IF(K222="",0,VAR($K$10:K223))</f>
        <v>0</v>
      </c>
      <c r="O223" s="2"/>
      <c r="P223" s="15" t="str">
        <f t="shared" si="103"/>
        <v/>
      </c>
      <c r="Q223" s="15">
        <f>IF(P223="",0,AVERAGE(P$10:P223))</f>
        <v>0</v>
      </c>
      <c r="R223" s="15">
        <f>IF(P222="",0,VAR(P$10:P223))</f>
        <v>0</v>
      </c>
      <c r="T223" s="2"/>
      <c r="U223" s="15" t="str">
        <f t="shared" si="110"/>
        <v/>
      </c>
      <c r="V223" s="15">
        <f>IF(U223="",0,AVERAGE(U$10:U223))</f>
        <v>0</v>
      </c>
      <c r="W223" s="15">
        <f>IF(U222="",0,VAR(U$10:U223))</f>
        <v>0</v>
      </c>
      <c r="Y223" s="2"/>
      <c r="Z223" s="15" t="str">
        <f t="shared" si="104"/>
        <v/>
      </c>
      <c r="AA223" s="15">
        <f>IF(Z223="",0,AVERAGE(Z$10:Z223))</f>
        <v>0</v>
      </c>
      <c r="AB223" s="15">
        <f>IF(Z222="",0,VAR(Z$10:Z223))</f>
        <v>0</v>
      </c>
      <c r="AD223" s="2"/>
      <c r="AE223" s="15" t="str">
        <f t="shared" si="111"/>
        <v/>
      </c>
      <c r="AF223" s="15">
        <f>IF(AE223="",0,AVERAGE(AE$10:AE223))</f>
        <v>0</v>
      </c>
      <c r="AG223" s="15">
        <f>IF(AE222="",0,VAR(AE$10:AE223))</f>
        <v>0</v>
      </c>
      <c r="AI223" s="2"/>
      <c r="AJ223" s="15" t="str">
        <f t="shared" si="106"/>
        <v/>
      </c>
      <c r="AK223" s="15">
        <f>IF(AJ223="",0,AVERAGE(AJ$10:AJ223))</f>
        <v>0</v>
      </c>
      <c r="AL223" s="15">
        <f>IF(AJ222="",0,VAR(AJ$10:AJ223))</f>
        <v>0</v>
      </c>
      <c r="AN223" s="2"/>
      <c r="AO223" s="15" t="str">
        <f t="shared" si="107"/>
        <v/>
      </c>
      <c r="AP223" s="15">
        <f>IF(AO223="",0,AVERAGE(AO$10:AO223))</f>
        <v>0</v>
      </c>
      <c r="AQ223" s="15">
        <f>IF(AO222="",0,VAR(AO$10:AO223))</f>
        <v>0</v>
      </c>
      <c r="AS223" s="2"/>
      <c r="AT223" s="15" t="str">
        <f t="shared" si="108"/>
        <v/>
      </c>
      <c r="AU223" s="15">
        <f>IF(AT223="",0,AVERAGE(AT$10:AT223))</f>
        <v>0</v>
      </c>
      <c r="AV223" s="15">
        <f>IF(AT222="",0,VAR(AT$10:AT223))</f>
        <v>0</v>
      </c>
      <c r="AX223" s="2"/>
      <c r="AY223" s="15" t="str">
        <f t="shared" si="109"/>
        <v/>
      </c>
      <c r="AZ223" s="15">
        <f>IF(AY223="",0,AVERAGE(AY$10:AY223))</f>
        <v>0</v>
      </c>
      <c r="BA223" s="15">
        <f>IF(AY222="",0,VAR(AY$10:AY223))</f>
        <v>0</v>
      </c>
    </row>
    <row r="224" spans="3:53" x14ac:dyDescent="0.25">
      <c r="C224" s="2"/>
      <c r="E224" s="2"/>
      <c r="F224" s="15" t="str">
        <f t="shared" si="101"/>
        <v/>
      </c>
      <c r="G224" s="15">
        <f>IF(F224="",0,AVERAGE($F$10:F224))</f>
        <v>0</v>
      </c>
      <c r="H224" s="15">
        <f>IF(F223="",0,VAR($F$10:F224))</f>
        <v>0</v>
      </c>
      <c r="J224" s="2"/>
      <c r="K224" s="15" t="str">
        <f t="shared" si="102"/>
        <v/>
      </c>
      <c r="L224" s="15">
        <f>IF(K224="",0,AVERAGE($K$10:K224))</f>
        <v>0</v>
      </c>
      <c r="M224" s="15">
        <f>IF(K223="",0,VAR($K$10:K224))</f>
        <v>0</v>
      </c>
      <c r="O224" s="2"/>
      <c r="P224" s="15" t="str">
        <f t="shared" si="103"/>
        <v/>
      </c>
      <c r="Q224" s="15">
        <f>IF(P224="",0,AVERAGE(P$10:P224))</f>
        <v>0</v>
      </c>
      <c r="R224" s="15">
        <f>IF(P223="",0,VAR(P$10:P224))</f>
        <v>0</v>
      </c>
      <c r="T224" s="2"/>
      <c r="U224" s="15" t="str">
        <f t="shared" si="110"/>
        <v/>
      </c>
      <c r="V224" s="15">
        <f>IF(U224="",0,AVERAGE(U$10:U224))</f>
        <v>0</v>
      </c>
      <c r="W224" s="15">
        <f>IF(U223="",0,VAR(U$10:U224))</f>
        <v>0</v>
      </c>
      <c r="Y224" s="2"/>
      <c r="Z224" s="15" t="str">
        <f t="shared" si="104"/>
        <v/>
      </c>
      <c r="AA224" s="15">
        <f>IF(Z224="",0,AVERAGE(Z$10:Z224))</f>
        <v>0</v>
      </c>
      <c r="AB224" s="15">
        <f>IF(Z223="",0,VAR(Z$10:Z224))</f>
        <v>0</v>
      </c>
      <c r="AD224" s="2"/>
      <c r="AE224" s="15" t="str">
        <f t="shared" si="111"/>
        <v/>
      </c>
      <c r="AF224" s="15">
        <f>IF(AE224="",0,AVERAGE(AE$10:AE224))</f>
        <v>0</v>
      </c>
      <c r="AG224" s="15">
        <f>IF(AE223="",0,VAR(AE$10:AE224))</f>
        <v>0</v>
      </c>
      <c r="AI224" s="2"/>
      <c r="AJ224" s="15" t="str">
        <f t="shared" si="106"/>
        <v/>
      </c>
      <c r="AK224" s="15">
        <f>IF(AJ224="",0,AVERAGE(AJ$10:AJ224))</f>
        <v>0</v>
      </c>
      <c r="AL224" s="15">
        <f>IF(AJ223="",0,VAR(AJ$10:AJ224))</f>
        <v>0</v>
      </c>
      <c r="AN224" s="2"/>
      <c r="AO224" s="15" t="str">
        <f t="shared" si="107"/>
        <v/>
      </c>
      <c r="AP224" s="15">
        <f>IF(AO224="",0,AVERAGE(AO$10:AO224))</f>
        <v>0</v>
      </c>
      <c r="AQ224" s="15">
        <f>IF(AO223="",0,VAR(AO$10:AO224))</f>
        <v>0</v>
      </c>
      <c r="AS224" s="2"/>
      <c r="AT224" s="15" t="str">
        <f t="shared" si="108"/>
        <v/>
      </c>
      <c r="AU224" s="15">
        <f>IF(AT224="",0,AVERAGE(AT$10:AT224))</f>
        <v>0</v>
      </c>
      <c r="AV224" s="15">
        <f>IF(AT223="",0,VAR(AT$10:AT224))</f>
        <v>0</v>
      </c>
      <c r="AX224" s="2"/>
      <c r="AY224" s="15" t="str">
        <f t="shared" si="109"/>
        <v/>
      </c>
      <c r="AZ224" s="15">
        <f>IF(AY224="",0,AVERAGE(AY$10:AY224))</f>
        <v>0</v>
      </c>
      <c r="BA224" s="15">
        <f>IF(AY223="",0,VAR(AY$10:AY224))</f>
        <v>0</v>
      </c>
    </row>
    <row r="225" spans="3:53" x14ac:dyDescent="0.25">
      <c r="C225" s="2"/>
      <c r="E225" s="2"/>
      <c r="F225" s="15"/>
      <c r="G225" s="15">
        <f>IF(F225="",0,AVERAGE($F$10:F225))</f>
        <v>0</v>
      </c>
      <c r="H225" s="15">
        <f>IF(F224="",0,VAR($F$10:F225))</f>
        <v>0</v>
      </c>
      <c r="J225" s="2"/>
      <c r="K225" s="15" t="str">
        <f t="shared" si="102"/>
        <v/>
      </c>
      <c r="L225" s="15">
        <f>IF(K225="",0,AVERAGE($K$10:K225))</f>
        <v>0</v>
      </c>
      <c r="M225" s="15">
        <f>IF(K224="",0,VAR($K$10:K225))</f>
        <v>0</v>
      </c>
      <c r="O225" s="2"/>
      <c r="P225" s="15" t="str">
        <f t="shared" si="103"/>
        <v/>
      </c>
      <c r="Q225" s="15">
        <f>IF(P225="",0,AVERAGE(P$10:P225))</f>
        <v>0</v>
      </c>
      <c r="R225" s="15">
        <f>IF(P224="",0,VAR(P$10:P225))</f>
        <v>0</v>
      </c>
      <c r="T225" s="2"/>
      <c r="U225" s="15" t="str">
        <f t="shared" si="110"/>
        <v/>
      </c>
      <c r="V225" s="15">
        <f>IF(U225="",0,AVERAGE(U$10:U225))</f>
        <v>0</v>
      </c>
      <c r="W225" s="15">
        <f>IF(U224="",0,VAR(U$10:U225))</f>
        <v>0</v>
      </c>
      <c r="Y225" s="2"/>
      <c r="Z225" s="15" t="str">
        <f t="shared" si="104"/>
        <v/>
      </c>
      <c r="AA225" s="15">
        <f>IF(Z225="",0,AVERAGE(Z$10:Z225))</f>
        <v>0</v>
      </c>
      <c r="AB225" s="15">
        <f>IF(Z224="",0,VAR(Z$10:Z225))</f>
        <v>0</v>
      </c>
      <c r="AD225" s="2"/>
      <c r="AE225" s="15" t="str">
        <f t="shared" si="111"/>
        <v/>
      </c>
      <c r="AF225" s="15">
        <f>IF(AE225="",0,AVERAGE(AE$10:AE225))</f>
        <v>0</v>
      </c>
      <c r="AG225" s="15">
        <f>IF(AE224="",0,VAR(AE$10:AE225))</f>
        <v>0</v>
      </c>
      <c r="AI225" s="2"/>
      <c r="AJ225" s="15" t="str">
        <f t="shared" si="106"/>
        <v/>
      </c>
      <c r="AK225" s="15">
        <f>IF(AJ225="",0,AVERAGE(AJ$10:AJ225))</f>
        <v>0</v>
      </c>
      <c r="AL225" s="15">
        <f>IF(AJ224="",0,VAR(AJ$10:AJ225))</f>
        <v>0</v>
      </c>
      <c r="AN225" s="2"/>
      <c r="AO225" s="15" t="str">
        <f t="shared" si="107"/>
        <v/>
      </c>
      <c r="AP225" s="15">
        <f>IF(AO225="",0,AVERAGE(AO$10:AO225))</f>
        <v>0</v>
      </c>
      <c r="AQ225" s="15">
        <f>IF(AO224="",0,VAR(AO$10:AO225))</f>
        <v>0</v>
      </c>
      <c r="AS225" s="2"/>
      <c r="AT225" s="15" t="str">
        <f t="shared" si="108"/>
        <v/>
      </c>
      <c r="AU225" s="15">
        <f>IF(AT225="",0,AVERAGE(AT$10:AT225))</f>
        <v>0</v>
      </c>
      <c r="AV225" s="15">
        <f>IF(AT224="",0,VAR(AT$10:AT225))</f>
        <v>0</v>
      </c>
      <c r="AX225" s="2"/>
      <c r="AY225" s="15" t="str">
        <f t="shared" si="109"/>
        <v/>
      </c>
      <c r="AZ225" s="15">
        <f>IF(AY225="",0,AVERAGE(AY$10:AY225))</f>
        <v>0</v>
      </c>
      <c r="BA225" s="15">
        <f>IF(AY224="",0,VAR(AY$10:AY225))</f>
        <v>0</v>
      </c>
    </row>
    <row r="226" spans="3:53" x14ac:dyDescent="0.25">
      <c r="C226" s="2"/>
      <c r="E226" s="2"/>
      <c r="F226" s="15" t="str">
        <f t="shared" ref="F226" si="118">IF(E226="","",+(E226-E225)/E225)</f>
        <v/>
      </c>
      <c r="G226" s="15">
        <f>IF(F226="",0,AVERAGE($F$10:F226))</f>
        <v>0</v>
      </c>
      <c r="H226" s="15">
        <f>IF(F225="",0,VAR($F$10:F226))</f>
        <v>0</v>
      </c>
      <c r="J226" s="2"/>
      <c r="K226" s="15" t="str">
        <f t="shared" si="102"/>
        <v/>
      </c>
      <c r="L226" s="15">
        <f>IF(K226="",0,AVERAGE($K$10:K226))</f>
        <v>0</v>
      </c>
      <c r="M226" s="15">
        <f>IF(K225="",0,VAR($K$10:K226))</f>
        <v>0</v>
      </c>
      <c r="O226" s="2"/>
      <c r="P226" s="15" t="str">
        <f t="shared" si="103"/>
        <v/>
      </c>
      <c r="Q226" s="15">
        <f>IF(P226="",0,AVERAGE(P$10:P226))</f>
        <v>0</v>
      </c>
      <c r="R226" s="15">
        <f>IF(P225="",0,VAR(P$10:P226))</f>
        <v>0</v>
      </c>
      <c r="T226" s="2"/>
      <c r="U226" s="15" t="str">
        <f t="shared" si="110"/>
        <v/>
      </c>
      <c r="V226" s="15">
        <f>IF(U226="",0,AVERAGE(U$10:U226))</f>
        <v>0</v>
      </c>
      <c r="W226" s="15">
        <f>IF(U225="",0,VAR(U$10:U226))</f>
        <v>0</v>
      </c>
      <c r="Y226" s="2"/>
      <c r="Z226" s="15" t="str">
        <f t="shared" si="104"/>
        <v/>
      </c>
      <c r="AA226" s="15">
        <f>IF(Z226="",0,AVERAGE(Z$10:Z226))</f>
        <v>0</v>
      </c>
      <c r="AB226" s="15">
        <f>IF(Z225="",0,VAR(Z$10:Z226))</f>
        <v>0</v>
      </c>
      <c r="AD226" s="2"/>
      <c r="AE226" s="15" t="str">
        <f t="shared" si="111"/>
        <v/>
      </c>
      <c r="AF226" s="15">
        <f>IF(AE226="",0,AVERAGE(AE$10:AE226))</f>
        <v>0</v>
      </c>
      <c r="AG226" s="15">
        <f>IF(AE225="",0,VAR(AE$10:AE226))</f>
        <v>0</v>
      </c>
      <c r="AI226" s="2"/>
      <c r="AJ226" s="15" t="str">
        <f t="shared" si="106"/>
        <v/>
      </c>
      <c r="AK226" s="15">
        <f>IF(AJ226="",0,AVERAGE(AJ$10:AJ226))</f>
        <v>0</v>
      </c>
      <c r="AL226" s="15">
        <f>IF(AJ225="",0,VAR(AJ$10:AJ226))</f>
        <v>0</v>
      </c>
      <c r="AN226" s="2"/>
      <c r="AO226" s="15" t="str">
        <f t="shared" si="107"/>
        <v/>
      </c>
      <c r="AP226" s="15">
        <f>IF(AO226="",0,AVERAGE(AO$10:AO226))</f>
        <v>0</v>
      </c>
      <c r="AQ226" s="15">
        <f>IF(AO225="",0,VAR(AO$10:AO226))</f>
        <v>0</v>
      </c>
      <c r="AS226" s="2"/>
      <c r="AT226" s="15" t="str">
        <f t="shared" si="108"/>
        <v/>
      </c>
      <c r="AU226" s="15">
        <f>IF(AT226="",0,AVERAGE(AT$10:AT226))</f>
        <v>0</v>
      </c>
      <c r="AV226" s="15">
        <f>IF(AT225="",0,VAR(AT$10:AT226))</f>
        <v>0</v>
      </c>
      <c r="AX226" s="2"/>
      <c r="AY226" s="15" t="str">
        <f t="shared" si="109"/>
        <v/>
      </c>
      <c r="AZ226" s="15">
        <f>IF(AY226="",0,AVERAGE(AY$10:AY226))</f>
        <v>0</v>
      </c>
      <c r="BA226" s="15">
        <f>IF(AY225="",0,VAR(AY$10:AY226))</f>
        <v>0</v>
      </c>
    </row>
    <row r="227" spans="3:53" x14ac:dyDescent="0.25">
      <c r="C227" s="2"/>
      <c r="E227" s="2"/>
      <c r="F227" s="15" t="str">
        <f t="shared" si="101"/>
        <v/>
      </c>
      <c r="G227" s="15">
        <f>IF(F227="",0,AVERAGE($F$10:F227))</f>
        <v>0</v>
      </c>
      <c r="H227" s="15">
        <f>IF(F226="",0,VAR($F$10:F227))</f>
        <v>0</v>
      </c>
      <c r="J227" s="2"/>
      <c r="K227" s="15" t="str">
        <f t="shared" si="102"/>
        <v/>
      </c>
      <c r="L227" s="15">
        <f>IF(K227="",0,AVERAGE($K$10:K227))</f>
        <v>0</v>
      </c>
      <c r="M227" s="15">
        <f>IF(K226="",0,VAR($K$10:K227))</f>
        <v>0</v>
      </c>
      <c r="O227" s="2"/>
      <c r="P227" s="15" t="str">
        <f t="shared" si="103"/>
        <v/>
      </c>
      <c r="Q227" s="15">
        <f>IF(P227="",0,AVERAGE(P$10:P227))</f>
        <v>0</v>
      </c>
      <c r="R227" s="15">
        <f>IF(P226="",0,VAR(P$10:P227))</f>
        <v>0</v>
      </c>
      <c r="T227" s="2"/>
      <c r="U227" s="15" t="str">
        <f t="shared" si="110"/>
        <v/>
      </c>
      <c r="V227" s="15">
        <f>IF(U227="",0,AVERAGE(U$10:U227))</f>
        <v>0</v>
      </c>
      <c r="W227" s="15">
        <f>IF(U226="",0,VAR(U$10:U227))</f>
        <v>0</v>
      </c>
      <c r="Y227" s="2"/>
      <c r="Z227" s="15" t="str">
        <f t="shared" si="104"/>
        <v/>
      </c>
      <c r="AA227" s="15">
        <f>IF(Z227="",0,AVERAGE(Z$10:Z227))</f>
        <v>0</v>
      </c>
      <c r="AB227" s="15">
        <f>IF(Z226="",0,VAR(Z$10:Z227))</f>
        <v>0</v>
      </c>
      <c r="AD227" s="2"/>
      <c r="AE227" s="15" t="str">
        <f t="shared" si="111"/>
        <v/>
      </c>
      <c r="AF227" s="15">
        <f>IF(AE227="",0,AVERAGE(AE$10:AE227))</f>
        <v>0</v>
      </c>
      <c r="AG227" s="15">
        <f>IF(AE226="",0,VAR(AE$10:AE227))</f>
        <v>0</v>
      </c>
      <c r="AI227" s="2"/>
      <c r="AJ227" s="15" t="str">
        <f t="shared" si="106"/>
        <v/>
      </c>
      <c r="AK227" s="15">
        <f>IF(AJ227="",0,AVERAGE(AJ$10:AJ227))</f>
        <v>0</v>
      </c>
      <c r="AL227" s="15">
        <f>IF(AJ226="",0,VAR(AJ$10:AJ227))</f>
        <v>0</v>
      </c>
      <c r="AN227" s="2"/>
      <c r="AO227" s="15" t="str">
        <f t="shared" si="107"/>
        <v/>
      </c>
      <c r="AP227" s="15">
        <f>IF(AO227="",0,AVERAGE(AO$10:AO227))</f>
        <v>0</v>
      </c>
      <c r="AQ227" s="15">
        <f>IF(AO226="",0,VAR(AO$10:AO227))</f>
        <v>0</v>
      </c>
      <c r="AS227" s="2"/>
      <c r="AT227" s="15" t="str">
        <f t="shared" si="108"/>
        <v/>
      </c>
      <c r="AU227" s="15">
        <f>IF(AT227="",0,AVERAGE(AT$10:AT227))</f>
        <v>0</v>
      </c>
      <c r="AV227" s="15">
        <f>IF(AT226="",0,VAR(AT$10:AT227))</f>
        <v>0</v>
      </c>
      <c r="AX227" s="2"/>
      <c r="AY227" s="15" t="str">
        <f t="shared" si="109"/>
        <v/>
      </c>
      <c r="AZ227" s="15">
        <f>IF(AY227="",0,AVERAGE(AY$10:AY227))</f>
        <v>0</v>
      </c>
      <c r="BA227" s="15">
        <f>IF(AY226="",0,VAR(AY$10:AY227))</f>
        <v>0</v>
      </c>
    </row>
    <row r="228" spans="3:53" x14ac:dyDescent="0.25">
      <c r="C228" s="2"/>
      <c r="E228" s="2"/>
      <c r="F228" s="15"/>
      <c r="G228" s="15">
        <f>IF(F228="",0,AVERAGE($F$10:F228))</f>
        <v>0</v>
      </c>
      <c r="H228" s="15">
        <f>IF(F227="",0,VAR($F$10:F228))</f>
        <v>0</v>
      </c>
      <c r="J228" s="2"/>
      <c r="K228" s="15" t="str">
        <f t="shared" si="102"/>
        <v/>
      </c>
      <c r="L228" s="15">
        <f>IF(K228="",0,AVERAGE($K$10:K228))</f>
        <v>0</v>
      </c>
      <c r="M228" s="15">
        <f>IF(K227="",0,VAR($K$10:K228))</f>
        <v>0</v>
      </c>
      <c r="O228" s="2"/>
      <c r="P228" s="15" t="str">
        <f t="shared" si="103"/>
        <v/>
      </c>
      <c r="Q228" s="15">
        <f>IF(P228="",0,AVERAGE(P$10:P228))</f>
        <v>0</v>
      </c>
      <c r="R228" s="15">
        <f>IF(P227="",0,VAR(P$10:P228))</f>
        <v>0</v>
      </c>
      <c r="T228" s="2"/>
      <c r="U228" s="15" t="str">
        <f t="shared" si="110"/>
        <v/>
      </c>
      <c r="V228" s="15">
        <f>IF(U228="",0,AVERAGE(U$10:U228))</f>
        <v>0</v>
      </c>
      <c r="W228" s="15">
        <f>IF(U227="",0,VAR(U$10:U228))</f>
        <v>0</v>
      </c>
      <c r="Y228" s="2"/>
      <c r="Z228" s="15" t="str">
        <f t="shared" si="104"/>
        <v/>
      </c>
      <c r="AA228" s="15">
        <f>IF(Z228="",0,AVERAGE(Z$10:Z228))</f>
        <v>0</v>
      </c>
      <c r="AB228" s="15">
        <f>IF(Z227="",0,VAR(Z$10:Z228))</f>
        <v>0</v>
      </c>
      <c r="AD228" s="2"/>
      <c r="AE228" s="15" t="str">
        <f t="shared" si="111"/>
        <v/>
      </c>
      <c r="AF228" s="15">
        <f>IF(AE228="",0,AVERAGE(AE$10:AE228))</f>
        <v>0</v>
      </c>
      <c r="AG228" s="15">
        <f>IF(AE227="",0,VAR(AE$10:AE228))</f>
        <v>0</v>
      </c>
      <c r="AI228" s="2"/>
      <c r="AJ228" s="15" t="str">
        <f t="shared" si="106"/>
        <v/>
      </c>
      <c r="AK228" s="15">
        <f>IF(AJ228="",0,AVERAGE(AJ$10:AJ228))</f>
        <v>0</v>
      </c>
      <c r="AL228" s="15">
        <f>IF(AJ227="",0,VAR(AJ$10:AJ228))</f>
        <v>0</v>
      </c>
      <c r="AN228" s="2"/>
      <c r="AO228" s="15" t="str">
        <f t="shared" si="107"/>
        <v/>
      </c>
      <c r="AP228" s="15">
        <f>IF(AO228="",0,AVERAGE(AO$10:AO228))</f>
        <v>0</v>
      </c>
      <c r="AQ228" s="15">
        <f>IF(AO227="",0,VAR(AO$10:AO228))</f>
        <v>0</v>
      </c>
      <c r="AS228" s="2"/>
      <c r="AT228" s="15" t="str">
        <f t="shared" si="108"/>
        <v/>
      </c>
      <c r="AU228" s="15">
        <f>IF(AT228="",0,AVERAGE(AT$10:AT228))</f>
        <v>0</v>
      </c>
      <c r="AV228" s="15">
        <f>IF(AT227="",0,VAR(AT$10:AT228))</f>
        <v>0</v>
      </c>
      <c r="AX228" s="2"/>
      <c r="AY228" s="15" t="str">
        <f t="shared" si="109"/>
        <v/>
      </c>
      <c r="AZ228" s="15">
        <f>IF(AY228="",0,AVERAGE(AY$10:AY228))</f>
        <v>0</v>
      </c>
      <c r="BA228" s="15">
        <f>IF(AY227="",0,VAR(AY$10:AY228))</f>
        <v>0</v>
      </c>
    </row>
    <row r="229" spans="3:53" x14ac:dyDescent="0.25">
      <c r="C229" s="2"/>
      <c r="E229" s="2"/>
      <c r="F229" s="15" t="str">
        <f t="shared" ref="F229" si="119">IF(E229="","",+(E229-E228)/E228)</f>
        <v/>
      </c>
      <c r="G229" s="15">
        <f>IF(F229="",0,AVERAGE($F$10:F229))</f>
        <v>0</v>
      </c>
      <c r="H229" s="15">
        <f>IF(F228="",0,VAR($F$10:F229))</f>
        <v>0</v>
      </c>
      <c r="J229" s="2"/>
      <c r="K229" s="15" t="str">
        <f t="shared" si="102"/>
        <v/>
      </c>
      <c r="L229" s="15">
        <f>IF(K229="",0,AVERAGE($K$10:K229))</f>
        <v>0</v>
      </c>
      <c r="M229" s="15">
        <f>IF(K228="",0,VAR($K$10:K229))</f>
        <v>0</v>
      </c>
      <c r="O229" s="2"/>
      <c r="P229" s="15" t="str">
        <f t="shared" si="103"/>
        <v/>
      </c>
      <c r="Q229" s="15">
        <f>IF(P229="",0,AVERAGE(P$10:P229))</f>
        <v>0</v>
      </c>
      <c r="R229" s="15">
        <f>IF(P228="",0,VAR(P$10:P229))</f>
        <v>0</v>
      </c>
      <c r="T229" s="2"/>
      <c r="U229" s="15" t="str">
        <f t="shared" si="110"/>
        <v/>
      </c>
      <c r="V229" s="15">
        <f>IF(U229="",0,AVERAGE(U$10:U229))</f>
        <v>0</v>
      </c>
      <c r="W229" s="15">
        <f>IF(U228="",0,VAR(U$10:U229))</f>
        <v>0</v>
      </c>
      <c r="Y229" s="2"/>
      <c r="Z229" s="15" t="str">
        <f t="shared" si="104"/>
        <v/>
      </c>
      <c r="AA229" s="15">
        <f>IF(Z229="",0,AVERAGE(Z$10:Z229))</f>
        <v>0</v>
      </c>
      <c r="AB229" s="15">
        <f>IF(Z228="",0,VAR(Z$10:Z229))</f>
        <v>0</v>
      </c>
      <c r="AD229" s="2"/>
      <c r="AE229" s="15" t="str">
        <f t="shared" si="111"/>
        <v/>
      </c>
      <c r="AF229" s="15">
        <f>IF(AE229="",0,AVERAGE(AE$10:AE229))</f>
        <v>0</v>
      </c>
      <c r="AG229" s="15">
        <f>IF(AE228="",0,VAR(AE$10:AE229))</f>
        <v>0</v>
      </c>
      <c r="AI229" s="2"/>
      <c r="AJ229" s="15" t="str">
        <f t="shared" si="106"/>
        <v/>
      </c>
      <c r="AK229" s="15">
        <f>IF(AJ229="",0,AVERAGE(AJ$10:AJ229))</f>
        <v>0</v>
      </c>
      <c r="AL229" s="15">
        <f>IF(AJ228="",0,VAR(AJ$10:AJ229))</f>
        <v>0</v>
      </c>
      <c r="AN229" s="2"/>
      <c r="AO229" s="15" t="str">
        <f t="shared" si="107"/>
        <v/>
      </c>
      <c r="AP229" s="15">
        <f>IF(AO229="",0,AVERAGE(AO$10:AO229))</f>
        <v>0</v>
      </c>
      <c r="AQ229" s="15">
        <f>IF(AO228="",0,VAR(AO$10:AO229))</f>
        <v>0</v>
      </c>
      <c r="AS229" s="2"/>
      <c r="AT229" s="15" t="str">
        <f t="shared" si="108"/>
        <v/>
      </c>
      <c r="AU229" s="15">
        <f>IF(AT229="",0,AVERAGE(AT$10:AT229))</f>
        <v>0</v>
      </c>
      <c r="AV229" s="15">
        <f>IF(AT228="",0,VAR(AT$10:AT229))</f>
        <v>0</v>
      </c>
      <c r="AX229" s="2"/>
      <c r="AY229" s="15" t="str">
        <f t="shared" si="109"/>
        <v/>
      </c>
      <c r="AZ229" s="15">
        <f>IF(AY229="",0,AVERAGE(AY$10:AY229))</f>
        <v>0</v>
      </c>
      <c r="BA229" s="15">
        <f>IF(AY228="",0,VAR(AY$10:AY229))</f>
        <v>0</v>
      </c>
    </row>
    <row r="230" spans="3:53" x14ac:dyDescent="0.25">
      <c r="C230" s="2"/>
      <c r="E230" s="2"/>
      <c r="F230" s="15" t="str">
        <f t="shared" si="101"/>
        <v/>
      </c>
      <c r="G230" s="15">
        <f>IF(F230="",0,AVERAGE($F$10:F230))</f>
        <v>0</v>
      </c>
      <c r="H230" s="15">
        <f>IF(F229="",0,VAR($F$10:F230))</f>
        <v>0</v>
      </c>
      <c r="J230" s="2"/>
      <c r="K230" s="15" t="str">
        <f t="shared" si="102"/>
        <v/>
      </c>
      <c r="L230" s="15">
        <f>IF(K230="",0,AVERAGE($K$10:K230))</f>
        <v>0</v>
      </c>
      <c r="M230" s="15">
        <f>IF(K229="",0,VAR($K$10:K230))</f>
        <v>0</v>
      </c>
      <c r="O230" s="2"/>
      <c r="P230" s="15" t="str">
        <f t="shared" si="103"/>
        <v/>
      </c>
      <c r="Q230" s="15">
        <f>IF(P230="",0,AVERAGE(P$10:P230))</f>
        <v>0</v>
      </c>
      <c r="R230" s="15">
        <f>IF(P229="",0,VAR(P$10:P230))</f>
        <v>0</v>
      </c>
      <c r="T230" s="2"/>
      <c r="U230" s="15" t="str">
        <f t="shared" si="110"/>
        <v/>
      </c>
      <c r="V230" s="15">
        <f>IF(U230="",0,AVERAGE(U$10:U230))</f>
        <v>0</v>
      </c>
      <c r="W230" s="15">
        <f>IF(U229="",0,VAR(U$10:U230))</f>
        <v>0</v>
      </c>
      <c r="Y230" s="2"/>
      <c r="Z230" s="15" t="str">
        <f t="shared" si="104"/>
        <v/>
      </c>
      <c r="AA230" s="15">
        <f>IF(Z230="",0,AVERAGE(Z$10:Z230))</f>
        <v>0</v>
      </c>
      <c r="AB230" s="15">
        <f>IF(Z229="",0,VAR(Z$10:Z230))</f>
        <v>0</v>
      </c>
      <c r="AD230" s="2"/>
      <c r="AE230" s="15" t="str">
        <f t="shared" si="111"/>
        <v/>
      </c>
      <c r="AF230" s="15">
        <f>IF(AE230="",0,AVERAGE(AE$10:AE230))</f>
        <v>0</v>
      </c>
      <c r="AG230" s="15">
        <f>IF(AE229="",0,VAR(AE$10:AE230))</f>
        <v>0</v>
      </c>
      <c r="AI230" s="2"/>
      <c r="AJ230" s="15" t="str">
        <f t="shared" si="106"/>
        <v/>
      </c>
      <c r="AK230" s="15">
        <f>IF(AJ230="",0,AVERAGE(AJ$10:AJ230))</f>
        <v>0</v>
      </c>
      <c r="AL230" s="15">
        <f>IF(AJ229="",0,VAR(AJ$10:AJ230))</f>
        <v>0</v>
      </c>
      <c r="AN230" s="2"/>
      <c r="AO230" s="15" t="str">
        <f t="shared" si="107"/>
        <v/>
      </c>
      <c r="AP230" s="15">
        <f>IF(AO230="",0,AVERAGE(AO$10:AO230))</f>
        <v>0</v>
      </c>
      <c r="AQ230" s="15">
        <f>IF(AO229="",0,VAR(AO$10:AO230))</f>
        <v>0</v>
      </c>
      <c r="AS230" s="2"/>
      <c r="AT230" s="15" t="str">
        <f t="shared" si="108"/>
        <v/>
      </c>
      <c r="AU230" s="15">
        <f>IF(AT230="",0,AVERAGE(AT$10:AT230))</f>
        <v>0</v>
      </c>
      <c r="AV230" s="15">
        <f>IF(AT229="",0,VAR(AT$10:AT230))</f>
        <v>0</v>
      </c>
      <c r="AX230" s="2"/>
      <c r="AY230" s="15" t="str">
        <f t="shared" si="109"/>
        <v/>
      </c>
      <c r="AZ230" s="15">
        <f>IF(AY230="",0,AVERAGE(AY$10:AY230))</f>
        <v>0</v>
      </c>
      <c r="BA230" s="15">
        <f>IF(AY229="",0,VAR(AY$10:AY230))</f>
        <v>0</v>
      </c>
    </row>
    <row r="231" spans="3:53" x14ac:dyDescent="0.25">
      <c r="C231" s="2"/>
      <c r="E231" s="2"/>
      <c r="F231" s="15"/>
      <c r="G231" s="15">
        <f>IF(F231="",0,AVERAGE($F$10:F231))</f>
        <v>0</v>
      </c>
      <c r="H231" s="15">
        <f>IF(F230="",0,VAR($F$10:F231))</f>
        <v>0</v>
      </c>
      <c r="J231" s="2"/>
      <c r="K231" s="15" t="str">
        <f t="shared" si="102"/>
        <v/>
      </c>
      <c r="L231" s="15">
        <f>IF(K231="",0,AVERAGE($K$10:K231))</f>
        <v>0</v>
      </c>
      <c r="M231" s="15">
        <f>IF(K230="",0,VAR($K$10:K231))</f>
        <v>0</v>
      </c>
      <c r="O231" s="2"/>
      <c r="P231" s="15" t="str">
        <f t="shared" si="103"/>
        <v/>
      </c>
      <c r="Q231" s="15">
        <f>IF(P231="",0,AVERAGE(P$10:P231))</f>
        <v>0</v>
      </c>
      <c r="R231" s="15">
        <f>IF(P230="",0,VAR(P$10:P231))</f>
        <v>0</v>
      </c>
      <c r="T231" s="2"/>
      <c r="U231" s="15" t="str">
        <f t="shared" si="110"/>
        <v/>
      </c>
      <c r="V231" s="15">
        <f>IF(U231="",0,AVERAGE(U$10:U231))</f>
        <v>0</v>
      </c>
      <c r="W231" s="15">
        <f>IF(U230="",0,VAR(U$10:U231))</f>
        <v>0</v>
      </c>
      <c r="Y231" s="2"/>
      <c r="Z231" s="15" t="str">
        <f t="shared" si="104"/>
        <v/>
      </c>
      <c r="AA231" s="15">
        <f>IF(Z231="",0,AVERAGE(Z$10:Z231))</f>
        <v>0</v>
      </c>
      <c r="AB231" s="15">
        <f>IF(Z230="",0,VAR(Z$10:Z231))</f>
        <v>0</v>
      </c>
      <c r="AD231" s="2"/>
      <c r="AE231" s="15" t="str">
        <f t="shared" si="111"/>
        <v/>
      </c>
      <c r="AF231" s="15">
        <f>IF(AE231="",0,AVERAGE(AE$10:AE231))</f>
        <v>0</v>
      </c>
      <c r="AG231" s="15">
        <f>IF(AE230="",0,VAR(AE$10:AE231))</f>
        <v>0</v>
      </c>
      <c r="AI231" s="2"/>
      <c r="AJ231" s="15" t="str">
        <f t="shared" si="106"/>
        <v/>
      </c>
      <c r="AK231" s="15">
        <f>IF(AJ231="",0,AVERAGE(AJ$10:AJ231))</f>
        <v>0</v>
      </c>
      <c r="AL231" s="15">
        <f>IF(AJ230="",0,VAR(AJ$10:AJ231))</f>
        <v>0</v>
      </c>
      <c r="AN231" s="2"/>
      <c r="AO231" s="15" t="str">
        <f t="shared" si="107"/>
        <v/>
      </c>
      <c r="AP231" s="15">
        <f>IF(AO231="",0,AVERAGE(AO$10:AO231))</f>
        <v>0</v>
      </c>
      <c r="AQ231" s="15">
        <f>IF(AO230="",0,VAR(AO$10:AO231))</f>
        <v>0</v>
      </c>
      <c r="AS231" s="2"/>
      <c r="AT231" s="15" t="str">
        <f t="shared" si="108"/>
        <v/>
      </c>
      <c r="AU231" s="15">
        <f>IF(AT231="",0,AVERAGE(AT$10:AT231))</f>
        <v>0</v>
      </c>
      <c r="AV231" s="15">
        <f>IF(AT230="",0,VAR(AT$10:AT231))</f>
        <v>0</v>
      </c>
      <c r="AX231" s="2"/>
      <c r="AY231" s="15" t="str">
        <f t="shared" si="109"/>
        <v/>
      </c>
      <c r="AZ231" s="15">
        <f>IF(AY231="",0,AVERAGE(AY$10:AY231))</f>
        <v>0</v>
      </c>
      <c r="BA231" s="15">
        <f>IF(AY230="",0,VAR(AY$10:AY231))</f>
        <v>0</v>
      </c>
    </row>
    <row r="232" spans="3:53" x14ac:dyDescent="0.25">
      <c r="C232" s="2"/>
      <c r="E232" s="2"/>
      <c r="F232" s="15" t="str">
        <f t="shared" ref="F232" si="120">IF(E232="","",+(E232-E231)/E231)</f>
        <v/>
      </c>
      <c r="G232" s="15">
        <f>IF(F232="",0,AVERAGE($F$10:F232))</f>
        <v>0</v>
      </c>
      <c r="H232" s="15">
        <f>IF(F231="",0,VAR($F$10:F232))</f>
        <v>0</v>
      </c>
      <c r="J232" s="2"/>
      <c r="K232" s="15" t="str">
        <f t="shared" si="102"/>
        <v/>
      </c>
      <c r="L232" s="15">
        <f>IF(K232="",0,AVERAGE($K$10:K232))</f>
        <v>0</v>
      </c>
      <c r="M232" s="15">
        <f>IF(K231="",0,VAR($K$10:K232))</f>
        <v>0</v>
      </c>
      <c r="O232" s="2"/>
      <c r="P232" s="15" t="str">
        <f t="shared" si="103"/>
        <v/>
      </c>
      <c r="Q232" s="15">
        <f>IF(P232="",0,AVERAGE(P$10:P232))</f>
        <v>0</v>
      </c>
      <c r="R232" s="15">
        <f>IF(P231="",0,VAR(P$10:P232))</f>
        <v>0</v>
      </c>
      <c r="T232" s="2"/>
      <c r="U232" s="15" t="str">
        <f t="shared" si="110"/>
        <v/>
      </c>
      <c r="V232" s="15">
        <f>IF(U232="",0,AVERAGE(U$10:U232))</f>
        <v>0</v>
      </c>
      <c r="W232" s="15">
        <f>IF(U231="",0,VAR(U$10:U232))</f>
        <v>0</v>
      </c>
      <c r="Y232" s="2"/>
      <c r="Z232" s="15" t="str">
        <f t="shared" si="104"/>
        <v/>
      </c>
      <c r="AA232" s="15">
        <f>IF(Z232="",0,AVERAGE(Z$10:Z232))</f>
        <v>0</v>
      </c>
      <c r="AB232" s="15">
        <f>IF(Z231="",0,VAR(Z$10:Z232))</f>
        <v>0</v>
      </c>
      <c r="AD232" s="2"/>
      <c r="AE232" s="15" t="str">
        <f t="shared" si="111"/>
        <v/>
      </c>
      <c r="AF232" s="15">
        <f>IF(AE232="",0,AVERAGE(AE$10:AE232))</f>
        <v>0</v>
      </c>
      <c r="AG232" s="15">
        <f>IF(AE231="",0,VAR(AE$10:AE232))</f>
        <v>0</v>
      </c>
      <c r="AI232" s="2"/>
      <c r="AJ232" s="15" t="str">
        <f t="shared" si="106"/>
        <v/>
      </c>
      <c r="AK232" s="15">
        <f>IF(AJ232="",0,AVERAGE(AJ$10:AJ232))</f>
        <v>0</v>
      </c>
      <c r="AL232" s="15">
        <f>IF(AJ231="",0,VAR(AJ$10:AJ232))</f>
        <v>0</v>
      </c>
      <c r="AN232" s="2"/>
      <c r="AO232" s="15" t="str">
        <f t="shared" si="107"/>
        <v/>
      </c>
      <c r="AP232" s="15">
        <f>IF(AO232="",0,AVERAGE(AO$10:AO232))</f>
        <v>0</v>
      </c>
      <c r="AQ232" s="15">
        <f>IF(AO231="",0,VAR(AO$10:AO232))</f>
        <v>0</v>
      </c>
      <c r="AS232" s="2"/>
      <c r="AT232" s="15" t="str">
        <f t="shared" si="108"/>
        <v/>
      </c>
      <c r="AU232" s="15">
        <f>IF(AT232="",0,AVERAGE(AT$10:AT232))</f>
        <v>0</v>
      </c>
      <c r="AV232" s="15">
        <f>IF(AT231="",0,VAR(AT$10:AT232))</f>
        <v>0</v>
      </c>
      <c r="AX232" s="2"/>
      <c r="AY232" s="15" t="str">
        <f t="shared" si="109"/>
        <v/>
      </c>
      <c r="AZ232" s="15">
        <f>IF(AY232="",0,AVERAGE(AY$10:AY232))</f>
        <v>0</v>
      </c>
      <c r="BA232" s="15">
        <f>IF(AY231="",0,VAR(AY$10:AY232))</f>
        <v>0</v>
      </c>
    </row>
    <row r="233" spans="3:53" x14ac:dyDescent="0.25">
      <c r="C233" s="2"/>
      <c r="E233" s="2"/>
      <c r="F233" s="15" t="str">
        <f t="shared" si="101"/>
        <v/>
      </c>
      <c r="G233" s="15">
        <f>IF(F233="",0,AVERAGE($F$10:F233))</f>
        <v>0</v>
      </c>
      <c r="H233" s="15">
        <f>IF(F232="",0,VAR($F$10:F233))</f>
        <v>0</v>
      </c>
      <c r="J233" s="2"/>
      <c r="K233" s="15" t="str">
        <f t="shared" si="102"/>
        <v/>
      </c>
      <c r="L233" s="15">
        <f>IF(K233="",0,AVERAGE($K$10:K233))</f>
        <v>0</v>
      </c>
      <c r="M233" s="15">
        <f>IF(K232="",0,VAR($K$10:K233))</f>
        <v>0</v>
      </c>
      <c r="O233" s="2"/>
      <c r="P233" s="15" t="str">
        <f t="shared" si="103"/>
        <v/>
      </c>
      <c r="Q233" s="15">
        <f>IF(P233="",0,AVERAGE(P$10:P233))</f>
        <v>0</v>
      </c>
      <c r="R233" s="15">
        <f>IF(P232="",0,VAR(P$10:P233))</f>
        <v>0</v>
      </c>
      <c r="T233" s="2"/>
      <c r="U233" s="15" t="str">
        <f t="shared" si="110"/>
        <v/>
      </c>
      <c r="V233" s="15">
        <f>IF(U233="",0,AVERAGE(U$10:U233))</f>
        <v>0</v>
      </c>
      <c r="W233" s="15">
        <f>IF(U232="",0,VAR(U$10:U233))</f>
        <v>0</v>
      </c>
      <c r="Y233" s="2"/>
      <c r="Z233" s="15" t="str">
        <f t="shared" si="104"/>
        <v/>
      </c>
      <c r="AA233" s="15">
        <f>IF(Z233="",0,AVERAGE(Z$10:Z233))</f>
        <v>0</v>
      </c>
      <c r="AB233" s="15">
        <f>IF(Z232="",0,VAR(Z$10:Z233))</f>
        <v>0</v>
      </c>
      <c r="AD233" s="2"/>
      <c r="AE233" s="15" t="str">
        <f t="shared" si="111"/>
        <v/>
      </c>
      <c r="AF233" s="15">
        <f>IF(AE233="",0,AVERAGE(AE$10:AE233))</f>
        <v>0</v>
      </c>
      <c r="AG233" s="15">
        <f>IF(AE232="",0,VAR(AE$10:AE233))</f>
        <v>0</v>
      </c>
      <c r="AI233" s="2"/>
      <c r="AJ233" s="15" t="str">
        <f t="shared" si="106"/>
        <v/>
      </c>
      <c r="AK233" s="15">
        <f>IF(AJ233="",0,AVERAGE(AJ$10:AJ233))</f>
        <v>0</v>
      </c>
      <c r="AL233" s="15">
        <f>IF(AJ232="",0,VAR(AJ$10:AJ233))</f>
        <v>0</v>
      </c>
      <c r="AN233" s="2"/>
      <c r="AO233" s="15" t="str">
        <f t="shared" si="107"/>
        <v/>
      </c>
      <c r="AP233" s="15">
        <f>IF(AO233="",0,AVERAGE(AO$10:AO233))</f>
        <v>0</v>
      </c>
      <c r="AQ233" s="15">
        <f>IF(AO232="",0,VAR(AO$10:AO233))</f>
        <v>0</v>
      </c>
      <c r="AS233" s="2"/>
      <c r="AT233" s="15" t="str">
        <f t="shared" si="108"/>
        <v/>
      </c>
      <c r="AU233" s="15">
        <f>IF(AT233="",0,AVERAGE(AT$10:AT233))</f>
        <v>0</v>
      </c>
      <c r="AV233" s="15">
        <f>IF(AT232="",0,VAR(AT$10:AT233))</f>
        <v>0</v>
      </c>
      <c r="AX233" s="2"/>
      <c r="AY233" s="15" t="str">
        <f t="shared" si="109"/>
        <v/>
      </c>
      <c r="AZ233" s="15">
        <f>IF(AY233="",0,AVERAGE(AY$10:AY233))</f>
        <v>0</v>
      </c>
      <c r="BA233" s="15">
        <f>IF(AY232="",0,VAR(AY$10:AY233))</f>
        <v>0</v>
      </c>
    </row>
    <row r="234" spans="3:53" x14ac:dyDescent="0.25">
      <c r="C234" s="2"/>
      <c r="E234" s="2"/>
      <c r="F234" s="15"/>
      <c r="G234" s="15">
        <f>IF(F234="",0,AVERAGE($F$10:F234))</f>
        <v>0</v>
      </c>
      <c r="H234" s="15">
        <f>IF(F233="",0,VAR($F$10:F234))</f>
        <v>0</v>
      </c>
      <c r="J234" s="2"/>
      <c r="K234" s="15" t="str">
        <f t="shared" si="102"/>
        <v/>
      </c>
      <c r="L234" s="15">
        <f>IF(K234="",0,AVERAGE($K$10:K234))</f>
        <v>0</v>
      </c>
      <c r="M234" s="15">
        <f>IF(K233="",0,VAR($K$10:K234))</f>
        <v>0</v>
      </c>
      <c r="O234" s="2"/>
      <c r="P234" s="15" t="str">
        <f t="shared" si="103"/>
        <v/>
      </c>
      <c r="Q234" s="15">
        <f>IF(P234="",0,AVERAGE(P$10:P234))</f>
        <v>0</v>
      </c>
      <c r="R234" s="15">
        <f>IF(P233="",0,VAR(P$10:P234))</f>
        <v>0</v>
      </c>
      <c r="T234" s="2"/>
      <c r="U234" s="15" t="str">
        <f t="shared" si="110"/>
        <v/>
      </c>
      <c r="V234" s="15">
        <f>IF(U234="",0,AVERAGE(U$10:U234))</f>
        <v>0</v>
      </c>
      <c r="W234" s="15">
        <f>IF(U233="",0,VAR(U$10:U234))</f>
        <v>0</v>
      </c>
      <c r="Y234" s="2"/>
      <c r="Z234" s="15" t="str">
        <f t="shared" si="104"/>
        <v/>
      </c>
      <c r="AA234" s="15">
        <f>IF(Z234="",0,AVERAGE(Z$10:Z234))</f>
        <v>0</v>
      </c>
      <c r="AB234" s="15">
        <f>IF(Z233="",0,VAR(Z$10:Z234))</f>
        <v>0</v>
      </c>
      <c r="AD234" s="2"/>
      <c r="AE234" s="15" t="str">
        <f t="shared" si="111"/>
        <v/>
      </c>
      <c r="AF234" s="15">
        <f>IF(AE234="",0,AVERAGE(AE$10:AE234))</f>
        <v>0</v>
      </c>
      <c r="AG234" s="15">
        <f>IF(AE233="",0,VAR(AE$10:AE234))</f>
        <v>0</v>
      </c>
      <c r="AI234" s="2"/>
      <c r="AJ234" s="15" t="str">
        <f t="shared" si="106"/>
        <v/>
      </c>
      <c r="AK234" s="15">
        <f>IF(AJ234="",0,AVERAGE(AJ$10:AJ234))</f>
        <v>0</v>
      </c>
      <c r="AL234" s="15">
        <f>IF(AJ233="",0,VAR(AJ$10:AJ234))</f>
        <v>0</v>
      </c>
      <c r="AN234" s="2"/>
      <c r="AO234" s="15" t="str">
        <f t="shared" si="107"/>
        <v/>
      </c>
      <c r="AP234" s="15">
        <f>IF(AO234="",0,AVERAGE(AO$10:AO234))</f>
        <v>0</v>
      </c>
      <c r="AQ234" s="15">
        <f>IF(AO233="",0,VAR(AO$10:AO234))</f>
        <v>0</v>
      </c>
      <c r="AS234" s="2"/>
      <c r="AT234" s="15" t="str">
        <f t="shared" si="108"/>
        <v/>
      </c>
      <c r="AU234" s="15">
        <f>IF(AT234="",0,AVERAGE(AT$10:AT234))</f>
        <v>0</v>
      </c>
      <c r="AV234" s="15">
        <f>IF(AT233="",0,VAR(AT$10:AT234))</f>
        <v>0</v>
      </c>
      <c r="AX234" s="2"/>
      <c r="AY234" s="15" t="str">
        <f t="shared" si="109"/>
        <v/>
      </c>
      <c r="AZ234" s="15">
        <f>IF(AY234="",0,AVERAGE(AY$10:AY234))</f>
        <v>0</v>
      </c>
      <c r="BA234" s="15">
        <f>IF(AY233="",0,VAR(AY$10:AY234))</f>
        <v>0</v>
      </c>
    </row>
    <row r="235" spans="3:53" x14ac:dyDescent="0.25">
      <c r="C235" s="2"/>
      <c r="E235" s="2"/>
      <c r="F235" s="15" t="str">
        <f t="shared" ref="F235" si="121">IF(E235="","",+(E235-E234)/E234)</f>
        <v/>
      </c>
      <c r="G235" s="15">
        <f>IF(F235="",0,AVERAGE($F$10:F235))</f>
        <v>0</v>
      </c>
      <c r="H235" s="15">
        <f>IF(F234="",0,VAR($F$10:F235))</f>
        <v>0</v>
      </c>
      <c r="J235" s="2"/>
      <c r="K235" s="15" t="str">
        <f t="shared" si="102"/>
        <v/>
      </c>
      <c r="L235" s="15">
        <f>IF(K235="",0,AVERAGE($K$10:K235))</f>
        <v>0</v>
      </c>
      <c r="M235" s="15">
        <f>IF(K234="",0,VAR($K$10:K235))</f>
        <v>0</v>
      </c>
      <c r="O235" s="2"/>
      <c r="P235" s="15" t="str">
        <f t="shared" si="103"/>
        <v/>
      </c>
      <c r="Q235" s="15">
        <f>IF(P235="",0,AVERAGE(P$10:P235))</f>
        <v>0</v>
      </c>
      <c r="R235" s="15">
        <f>IF(P234="",0,VAR(P$10:P235))</f>
        <v>0</v>
      </c>
      <c r="T235" s="2"/>
      <c r="U235" s="15" t="str">
        <f t="shared" si="110"/>
        <v/>
      </c>
      <c r="V235" s="15">
        <f>IF(U235="",0,AVERAGE(U$10:U235))</f>
        <v>0</v>
      </c>
      <c r="W235" s="15">
        <f>IF(U234="",0,VAR(U$10:U235))</f>
        <v>0</v>
      </c>
      <c r="Y235" s="2"/>
      <c r="Z235" s="15" t="str">
        <f t="shared" si="104"/>
        <v/>
      </c>
      <c r="AA235" s="15">
        <f>IF(Z235="",0,AVERAGE(Z$10:Z235))</f>
        <v>0</v>
      </c>
      <c r="AB235" s="15">
        <f>IF(Z234="",0,VAR(Z$10:Z235))</f>
        <v>0</v>
      </c>
      <c r="AD235" s="2"/>
      <c r="AE235" s="15" t="str">
        <f t="shared" si="111"/>
        <v/>
      </c>
      <c r="AF235" s="15">
        <f>IF(AE235="",0,AVERAGE(AE$10:AE235))</f>
        <v>0</v>
      </c>
      <c r="AG235" s="15">
        <f>IF(AE234="",0,VAR(AE$10:AE235))</f>
        <v>0</v>
      </c>
      <c r="AI235" s="2"/>
      <c r="AJ235" s="15" t="str">
        <f t="shared" si="106"/>
        <v/>
      </c>
      <c r="AK235" s="15">
        <f>IF(AJ235="",0,AVERAGE(AJ$10:AJ235))</f>
        <v>0</v>
      </c>
      <c r="AL235" s="15">
        <f>IF(AJ234="",0,VAR(AJ$10:AJ235))</f>
        <v>0</v>
      </c>
      <c r="AN235" s="2"/>
      <c r="AO235" s="15" t="str">
        <f t="shared" si="107"/>
        <v/>
      </c>
      <c r="AP235" s="15">
        <f>IF(AO235="",0,AVERAGE(AO$10:AO235))</f>
        <v>0</v>
      </c>
      <c r="AQ235" s="15">
        <f>IF(AO234="",0,VAR(AO$10:AO235))</f>
        <v>0</v>
      </c>
      <c r="AS235" s="2"/>
      <c r="AT235" s="15" t="str">
        <f t="shared" si="108"/>
        <v/>
      </c>
      <c r="AU235" s="15">
        <f>IF(AT235="",0,AVERAGE(AT$10:AT235))</f>
        <v>0</v>
      </c>
      <c r="AV235" s="15">
        <f>IF(AT234="",0,VAR(AT$10:AT235))</f>
        <v>0</v>
      </c>
      <c r="AX235" s="2"/>
      <c r="AY235" s="15" t="str">
        <f t="shared" si="109"/>
        <v/>
      </c>
      <c r="AZ235" s="15">
        <f>IF(AY235="",0,AVERAGE(AY$10:AY235))</f>
        <v>0</v>
      </c>
      <c r="BA235" s="15">
        <f>IF(AY234="",0,VAR(AY$10:AY235))</f>
        <v>0</v>
      </c>
    </row>
    <row r="236" spans="3:53" x14ac:dyDescent="0.25">
      <c r="C236" s="2"/>
      <c r="E236" s="2"/>
      <c r="F236" s="15" t="str">
        <f t="shared" si="101"/>
        <v/>
      </c>
      <c r="G236" s="15">
        <f>IF(F236="",0,AVERAGE($F$10:F236))</f>
        <v>0</v>
      </c>
      <c r="H236" s="15">
        <f>IF(F235="",0,VAR($F$10:F236))</f>
        <v>0</v>
      </c>
      <c r="J236" s="2"/>
      <c r="K236" s="15" t="str">
        <f t="shared" si="102"/>
        <v/>
      </c>
      <c r="L236" s="15">
        <f>IF(K236="",0,AVERAGE($K$10:K236))</f>
        <v>0</v>
      </c>
      <c r="M236" s="15">
        <f>IF(K235="",0,VAR($K$10:K236))</f>
        <v>0</v>
      </c>
      <c r="O236" s="2"/>
      <c r="P236" s="15" t="str">
        <f t="shared" si="103"/>
        <v/>
      </c>
      <c r="Q236" s="15">
        <f>IF(P236="",0,AVERAGE(P$10:P236))</f>
        <v>0</v>
      </c>
      <c r="R236" s="15">
        <f>IF(P235="",0,VAR(P$10:P236))</f>
        <v>0</v>
      </c>
      <c r="T236" s="2"/>
      <c r="U236" s="15" t="str">
        <f t="shared" si="110"/>
        <v/>
      </c>
      <c r="V236" s="15">
        <f>IF(U236="",0,AVERAGE(U$10:U236))</f>
        <v>0</v>
      </c>
      <c r="W236" s="15">
        <f>IF(U235="",0,VAR(U$10:U236))</f>
        <v>0</v>
      </c>
      <c r="Y236" s="2"/>
      <c r="Z236" s="15" t="str">
        <f t="shared" si="104"/>
        <v/>
      </c>
      <c r="AA236" s="15">
        <f>IF(Z236="",0,AVERAGE(Z$10:Z236))</f>
        <v>0</v>
      </c>
      <c r="AB236" s="15">
        <f>IF(Z235="",0,VAR(Z$10:Z236))</f>
        <v>0</v>
      </c>
      <c r="AD236" s="2"/>
      <c r="AE236" s="15" t="str">
        <f t="shared" si="111"/>
        <v/>
      </c>
      <c r="AF236" s="15">
        <f>IF(AE236="",0,AVERAGE(AE$10:AE236))</f>
        <v>0</v>
      </c>
      <c r="AG236" s="15">
        <f>IF(AE235="",0,VAR(AE$10:AE236))</f>
        <v>0</v>
      </c>
      <c r="AI236" s="2"/>
      <c r="AJ236" s="15" t="str">
        <f t="shared" si="106"/>
        <v/>
      </c>
      <c r="AK236" s="15">
        <f>IF(AJ236="",0,AVERAGE(AJ$10:AJ236))</f>
        <v>0</v>
      </c>
      <c r="AL236" s="15">
        <f>IF(AJ235="",0,VAR(AJ$10:AJ236))</f>
        <v>0</v>
      </c>
      <c r="AN236" s="2"/>
      <c r="AO236" s="15" t="str">
        <f t="shared" si="107"/>
        <v/>
      </c>
      <c r="AP236" s="15">
        <f>IF(AO236="",0,AVERAGE(AO$10:AO236))</f>
        <v>0</v>
      </c>
      <c r="AQ236" s="15">
        <f>IF(AO235="",0,VAR(AO$10:AO236))</f>
        <v>0</v>
      </c>
      <c r="AS236" s="2"/>
      <c r="AT236" s="15" t="str">
        <f t="shared" si="108"/>
        <v/>
      </c>
      <c r="AU236" s="15">
        <f>IF(AT236="",0,AVERAGE(AT$10:AT236))</f>
        <v>0</v>
      </c>
      <c r="AV236" s="15">
        <f>IF(AT235="",0,VAR(AT$10:AT236))</f>
        <v>0</v>
      </c>
      <c r="AX236" s="2"/>
      <c r="AY236" s="15" t="str">
        <f t="shared" si="109"/>
        <v/>
      </c>
      <c r="AZ236" s="15">
        <f>IF(AY236="",0,AVERAGE(AY$10:AY236))</f>
        <v>0</v>
      </c>
      <c r="BA236" s="15">
        <f>IF(AY235="",0,VAR(AY$10:AY236))</f>
        <v>0</v>
      </c>
    </row>
    <row r="237" spans="3:53" x14ac:dyDescent="0.25">
      <c r="C237" s="2"/>
      <c r="E237" s="2"/>
      <c r="F237" s="15"/>
      <c r="G237" s="15">
        <f>IF(F237="",0,AVERAGE($F$10:F237))</f>
        <v>0</v>
      </c>
      <c r="H237" s="15">
        <f>IF(F236="",0,VAR($F$10:F237))</f>
        <v>0</v>
      </c>
      <c r="J237" s="2"/>
      <c r="K237" s="15" t="str">
        <f t="shared" si="102"/>
        <v/>
      </c>
      <c r="L237" s="15">
        <f>IF(K237="",0,AVERAGE($K$10:K237))</f>
        <v>0</v>
      </c>
      <c r="M237" s="15">
        <f>IF(K236="",0,VAR($K$10:K237))</f>
        <v>0</v>
      </c>
      <c r="O237" s="2"/>
      <c r="P237" s="15" t="str">
        <f t="shared" si="103"/>
        <v/>
      </c>
      <c r="Q237" s="15">
        <f>IF(P237="",0,AVERAGE(P$10:P237))</f>
        <v>0</v>
      </c>
      <c r="R237" s="15">
        <f>IF(P236="",0,VAR(P$10:P237))</f>
        <v>0</v>
      </c>
      <c r="T237" s="2"/>
      <c r="U237" s="15" t="str">
        <f t="shared" si="110"/>
        <v/>
      </c>
      <c r="V237" s="15">
        <f>IF(U237="",0,AVERAGE(U$10:U237))</f>
        <v>0</v>
      </c>
      <c r="W237" s="15">
        <f>IF(U236="",0,VAR(U$10:U237))</f>
        <v>0</v>
      </c>
      <c r="Y237" s="2"/>
      <c r="Z237" s="15" t="str">
        <f t="shared" si="104"/>
        <v/>
      </c>
      <c r="AA237" s="15">
        <f>IF(Z237="",0,AVERAGE(Z$10:Z237))</f>
        <v>0</v>
      </c>
      <c r="AB237" s="15">
        <f>IF(Z236="",0,VAR(Z$10:Z237))</f>
        <v>0</v>
      </c>
      <c r="AD237" s="2"/>
      <c r="AE237" s="15" t="str">
        <f t="shared" si="111"/>
        <v/>
      </c>
      <c r="AF237" s="15">
        <f>IF(AE237="",0,AVERAGE(AE$10:AE237))</f>
        <v>0</v>
      </c>
      <c r="AG237" s="15">
        <f>IF(AE236="",0,VAR(AE$10:AE237))</f>
        <v>0</v>
      </c>
      <c r="AI237" s="2"/>
      <c r="AJ237" s="15" t="str">
        <f t="shared" si="106"/>
        <v/>
      </c>
      <c r="AK237" s="15">
        <f>IF(AJ237="",0,AVERAGE(AJ$10:AJ237))</f>
        <v>0</v>
      </c>
      <c r="AL237" s="15">
        <f>IF(AJ236="",0,VAR(AJ$10:AJ237))</f>
        <v>0</v>
      </c>
      <c r="AN237" s="2"/>
      <c r="AO237" s="15" t="str">
        <f t="shared" si="107"/>
        <v/>
      </c>
      <c r="AP237" s="15">
        <f>IF(AO237="",0,AVERAGE(AO$10:AO237))</f>
        <v>0</v>
      </c>
      <c r="AQ237" s="15">
        <f>IF(AO236="",0,VAR(AO$10:AO237))</f>
        <v>0</v>
      </c>
      <c r="AS237" s="2"/>
      <c r="AT237" s="15" t="str">
        <f t="shared" si="108"/>
        <v/>
      </c>
      <c r="AU237" s="15">
        <f>IF(AT237="",0,AVERAGE(AT$10:AT237))</f>
        <v>0</v>
      </c>
      <c r="AV237" s="15">
        <f>IF(AT236="",0,VAR(AT$10:AT237))</f>
        <v>0</v>
      </c>
      <c r="AX237" s="2"/>
      <c r="AY237" s="15" t="str">
        <f t="shared" si="109"/>
        <v/>
      </c>
      <c r="AZ237" s="15">
        <f>IF(AY237="",0,AVERAGE(AY$10:AY237))</f>
        <v>0</v>
      </c>
      <c r="BA237" s="15">
        <f>IF(AY236="",0,VAR(AY$10:AY237))</f>
        <v>0</v>
      </c>
    </row>
    <row r="238" spans="3:53" x14ac:dyDescent="0.25">
      <c r="C238" s="2"/>
      <c r="E238" s="2"/>
      <c r="F238" s="15" t="str">
        <f t="shared" ref="F238" si="122">IF(E238="","",+(E238-E237)/E237)</f>
        <v/>
      </c>
      <c r="G238" s="15">
        <f>IF(F238="",0,AVERAGE($F$10:F238))</f>
        <v>0</v>
      </c>
      <c r="H238" s="15">
        <f>IF(F237="",0,VAR($F$10:F238))</f>
        <v>0</v>
      </c>
      <c r="J238" s="2"/>
      <c r="K238" s="15" t="str">
        <f t="shared" si="102"/>
        <v/>
      </c>
      <c r="L238" s="15">
        <f>IF(K238="",0,AVERAGE($K$10:K238))</f>
        <v>0</v>
      </c>
      <c r="M238" s="15">
        <f>IF(K237="",0,VAR($K$10:K238))</f>
        <v>0</v>
      </c>
      <c r="O238" s="2"/>
      <c r="P238" s="15" t="str">
        <f t="shared" si="103"/>
        <v/>
      </c>
      <c r="Q238" s="15">
        <f>IF(P238="",0,AVERAGE(P$10:P238))</f>
        <v>0</v>
      </c>
      <c r="R238" s="15">
        <f>IF(P237="",0,VAR(P$10:P238))</f>
        <v>0</v>
      </c>
      <c r="T238" s="2"/>
      <c r="U238" s="15" t="str">
        <f t="shared" si="110"/>
        <v/>
      </c>
      <c r="V238" s="15">
        <f>IF(U238="",0,AVERAGE(U$10:U238))</f>
        <v>0</v>
      </c>
      <c r="W238" s="15">
        <f>IF(U237="",0,VAR(U$10:U238))</f>
        <v>0</v>
      </c>
      <c r="Y238" s="2"/>
      <c r="Z238" s="15" t="str">
        <f t="shared" si="104"/>
        <v/>
      </c>
      <c r="AA238" s="15">
        <f>IF(Z238="",0,AVERAGE(Z$10:Z238))</f>
        <v>0</v>
      </c>
      <c r="AB238" s="15">
        <f>IF(Z237="",0,VAR(Z$10:Z238))</f>
        <v>0</v>
      </c>
      <c r="AD238" s="2"/>
      <c r="AE238" s="15" t="str">
        <f t="shared" si="111"/>
        <v/>
      </c>
      <c r="AF238" s="15">
        <f>IF(AE238="",0,AVERAGE(AE$10:AE238))</f>
        <v>0</v>
      </c>
      <c r="AG238" s="15">
        <f>IF(AE237="",0,VAR(AE$10:AE238))</f>
        <v>0</v>
      </c>
      <c r="AI238" s="2"/>
      <c r="AJ238" s="15" t="str">
        <f t="shared" si="106"/>
        <v/>
      </c>
      <c r="AK238" s="15">
        <f>IF(AJ238="",0,AVERAGE(AJ$10:AJ238))</f>
        <v>0</v>
      </c>
      <c r="AL238" s="15">
        <f>IF(AJ237="",0,VAR(AJ$10:AJ238))</f>
        <v>0</v>
      </c>
      <c r="AN238" s="2"/>
      <c r="AO238" s="15" t="str">
        <f t="shared" si="107"/>
        <v/>
      </c>
      <c r="AP238" s="15">
        <f>IF(AO238="",0,AVERAGE(AO$10:AO238))</f>
        <v>0</v>
      </c>
      <c r="AQ238" s="15">
        <f>IF(AO237="",0,VAR(AO$10:AO238))</f>
        <v>0</v>
      </c>
      <c r="AS238" s="2"/>
      <c r="AT238" s="15" t="str">
        <f t="shared" si="108"/>
        <v/>
      </c>
      <c r="AU238" s="15">
        <f>IF(AT238="",0,AVERAGE(AT$10:AT238))</f>
        <v>0</v>
      </c>
      <c r="AV238" s="15">
        <f>IF(AT237="",0,VAR(AT$10:AT238))</f>
        <v>0</v>
      </c>
      <c r="AX238" s="2"/>
      <c r="AY238" s="15" t="str">
        <f t="shared" si="109"/>
        <v/>
      </c>
      <c r="AZ238" s="15">
        <f>IF(AY238="",0,AVERAGE(AY$10:AY238))</f>
        <v>0</v>
      </c>
      <c r="BA238" s="15">
        <f>IF(AY237="",0,VAR(AY$10:AY238))</f>
        <v>0</v>
      </c>
    </row>
    <row r="239" spans="3:53" x14ac:dyDescent="0.25">
      <c r="C239" s="2"/>
      <c r="E239" s="2"/>
      <c r="F239" s="15" t="str">
        <f t="shared" si="101"/>
        <v/>
      </c>
      <c r="G239" s="15">
        <f>IF(F239="",0,AVERAGE($F$10:F239))</f>
        <v>0</v>
      </c>
      <c r="H239" s="15">
        <f>IF(F238="",0,VAR($F$10:F239))</f>
        <v>0</v>
      </c>
      <c r="J239" s="2"/>
      <c r="K239" s="15" t="str">
        <f t="shared" si="102"/>
        <v/>
      </c>
      <c r="L239" s="15">
        <f>IF(K239="",0,AVERAGE($K$10:K239))</f>
        <v>0</v>
      </c>
      <c r="M239" s="15">
        <f>IF(K238="",0,VAR($K$10:K239))</f>
        <v>0</v>
      </c>
      <c r="O239" s="2"/>
      <c r="P239" s="15" t="str">
        <f t="shared" si="103"/>
        <v/>
      </c>
      <c r="Q239" s="15">
        <f>IF(P239="",0,AVERAGE(P$10:P239))</f>
        <v>0</v>
      </c>
      <c r="R239" s="15">
        <f>IF(P238="",0,VAR(P$10:P239))</f>
        <v>0</v>
      </c>
      <c r="T239" s="2"/>
      <c r="U239" s="15" t="str">
        <f t="shared" si="110"/>
        <v/>
      </c>
      <c r="V239" s="15">
        <f>IF(U239="",0,AVERAGE(U$10:U239))</f>
        <v>0</v>
      </c>
      <c r="W239" s="15">
        <f>IF(U238="",0,VAR(U$10:U239))</f>
        <v>0</v>
      </c>
      <c r="Y239" s="2"/>
      <c r="Z239" s="15" t="str">
        <f t="shared" si="104"/>
        <v/>
      </c>
      <c r="AA239" s="15">
        <f>IF(Z239="",0,AVERAGE(Z$10:Z239))</f>
        <v>0</v>
      </c>
      <c r="AB239" s="15">
        <f>IF(Z238="",0,VAR(Z$10:Z239))</f>
        <v>0</v>
      </c>
      <c r="AD239" s="2"/>
      <c r="AE239" s="15" t="str">
        <f t="shared" si="111"/>
        <v/>
      </c>
      <c r="AF239" s="15">
        <f>IF(AE239="",0,AVERAGE(AE$10:AE239))</f>
        <v>0</v>
      </c>
      <c r="AG239" s="15">
        <f>IF(AE238="",0,VAR(AE$10:AE239))</f>
        <v>0</v>
      </c>
      <c r="AI239" s="2"/>
      <c r="AJ239" s="15" t="str">
        <f t="shared" si="106"/>
        <v/>
      </c>
      <c r="AK239" s="15">
        <f>IF(AJ239="",0,AVERAGE(AJ$10:AJ239))</f>
        <v>0</v>
      </c>
      <c r="AL239" s="15">
        <f>IF(AJ238="",0,VAR(AJ$10:AJ239))</f>
        <v>0</v>
      </c>
      <c r="AN239" s="2"/>
      <c r="AO239" s="15" t="str">
        <f t="shared" si="107"/>
        <v/>
      </c>
      <c r="AP239" s="15">
        <f>IF(AO239="",0,AVERAGE(AO$10:AO239))</f>
        <v>0</v>
      </c>
      <c r="AQ239" s="15">
        <f>IF(AO238="",0,VAR(AO$10:AO239))</f>
        <v>0</v>
      </c>
      <c r="AS239" s="2"/>
      <c r="AT239" s="15" t="str">
        <f t="shared" si="108"/>
        <v/>
      </c>
      <c r="AU239" s="15">
        <f>IF(AT239="",0,AVERAGE(AT$10:AT239))</f>
        <v>0</v>
      </c>
      <c r="AV239" s="15">
        <f>IF(AT238="",0,VAR(AT$10:AT239))</f>
        <v>0</v>
      </c>
      <c r="AX239" s="2"/>
      <c r="AY239" s="15" t="str">
        <f t="shared" si="109"/>
        <v/>
      </c>
      <c r="AZ239" s="15">
        <f>IF(AY239="",0,AVERAGE(AY$10:AY239))</f>
        <v>0</v>
      </c>
      <c r="BA239" s="15">
        <f>IF(AY238="",0,VAR(AY$10:AY239))</f>
        <v>0</v>
      </c>
    </row>
    <row r="240" spans="3:53" x14ac:dyDescent="0.25">
      <c r="C240" s="2"/>
      <c r="E240" s="2"/>
      <c r="F240" s="15"/>
      <c r="G240" s="15">
        <f>IF(F240="",0,AVERAGE($F$10:F240))</f>
        <v>0</v>
      </c>
      <c r="H240" s="15">
        <f>IF(F239="",0,VAR($F$10:F240))</f>
        <v>0</v>
      </c>
      <c r="J240" s="2"/>
      <c r="K240" s="15" t="str">
        <f t="shared" si="102"/>
        <v/>
      </c>
      <c r="L240" s="15">
        <f>IF(K240="",0,AVERAGE($K$10:K240))</f>
        <v>0</v>
      </c>
      <c r="M240" s="15">
        <f>IF(K239="",0,VAR($K$10:K240))</f>
        <v>0</v>
      </c>
      <c r="O240" s="2"/>
      <c r="P240" s="15" t="str">
        <f t="shared" si="103"/>
        <v/>
      </c>
      <c r="Q240" s="15">
        <f>IF(P240="",0,AVERAGE(P$10:P240))</f>
        <v>0</v>
      </c>
      <c r="R240" s="15">
        <f>IF(P239="",0,VAR(P$10:P240))</f>
        <v>0</v>
      </c>
      <c r="T240" s="2"/>
      <c r="U240" s="15" t="str">
        <f t="shared" si="110"/>
        <v/>
      </c>
      <c r="V240" s="15">
        <f>IF(U240="",0,AVERAGE(U$10:U240))</f>
        <v>0</v>
      </c>
      <c r="W240" s="15">
        <f>IF(U239="",0,VAR(U$10:U240))</f>
        <v>0</v>
      </c>
      <c r="Y240" s="2"/>
      <c r="Z240" s="15" t="str">
        <f t="shared" si="104"/>
        <v/>
      </c>
      <c r="AA240" s="15">
        <f>IF(Z240="",0,AVERAGE(Z$10:Z240))</f>
        <v>0</v>
      </c>
      <c r="AB240" s="15">
        <f>IF(Z239="",0,VAR(Z$10:Z240))</f>
        <v>0</v>
      </c>
      <c r="AD240" s="2"/>
      <c r="AE240" s="15" t="str">
        <f t="shared" si="111"/>
        <v/>
      </c>
      <c r="AF240" s="15">
        <f>IF(AE240="",0,AVERAGE(AE$10:AE240))</f>
        <v>0</v>
      </c>
      <c r="AG240" s="15">
        <f>IF(AE239="",0,VAR(AE$10:AE240))</f>
        <v>0</v>
      </c>
      <c r="AI240" s="2"/>
      <c r="AJ240" s="15" t="str">
        <f t="shared" si="106"/>
        <v/>
      </c>
      <c r="AK240" s="15">
        <f>IF(AJ240="",0,AVERAGE(AJ$10:AJ240))</f>
        <v>0</v>
      </c>
      <c r="AL240" s="15">
        <f>IF(AJ239="",0,VAR(AJ$10:AJ240))</f>
        <v>0</v>
      </c>
      <c r="AN240" s="2"/>
      <c r="AO240" s="15" t="str">
        <f t="shared" si="107"/>
        <v/>
      </c>
      <c r="AP240" s="15">
        <f>IF(AO240="",0,AVERAGE(AO$10:AO240))</f>
        <v>0</v>
      </c>
      <c r="AQ240" s="15">
        <f>IF(AO239="",0,VAR(AO$10:AO240))</f>
        <v>0</v>
      </c>
      <c r="AS240" s="2"/>
      <c r="AT240" s="15" t="str">
        <f t="shared" si="108"/>
        <v/>
      </c>
      <c r="AU240" s="15">
        <f>IF(AT240="",0,AVERAGE(AT$10:AT240))</f>
        <v>0</v>
      </c>
      <c r="AV240" s="15">
        <f>IF(AT239="",0,VAR(AT$10:AT240))</f>
        <v>0</v>
      </c>
      <c r="AX240" s="2"/>
      <c r="AY240" s="15" t="str">
        <f t="shared" si="109"/>
        <v/>
      </c>
      <c r="AZ240" s="15">
        <f>IF(AY240="",0,AVERAGE(AY$10:AY240))</f>
        <v>0</v>
      </c>
      <c r="BA240" s="15">
        <f>IF(AY239="",0,VAR(AY$10:AY240))</f>
        <v>0</v>
      </c>
    </row>
    <row r="241" spans="3:53" x14ac:dyDescent="0.25">
      <c r="C241" s="2"/>
      <c r="E241" s="2"/>
      <c r="F241" s="15" t="str">
        <f t="shared" ref="F241" si="123">IF(E241="","",+(E241-E240)/E240)</f>
        <v/>
      </c>
      <c r="G241" s="15">
        <f>IF(F241="",0,AVERAGE($F$10:F241))</f>
        <v>0</v>
      </c>
      <c r="H241" s="15">
        <f>IF(F240="",0,VAR($F$10:F241))</f>
        <v>0</v>
      </c>
      <c r="J241" s="2"/>
      <c r="K241" s="15" t="str">
        <f t="shared" si="102"/>
        <v/>
      </c>
      <c r="L241" s="15">
        <f>IF(K241="",0,AVERAGE($K$10:K241))</f>
        <v>0</v>
      </c>
      <c r="M241" s="15">
        <f>IF(K240="",0,VAR($K$10:K241))</f>
        <v>0</v>
      </c>
      <c r="O241" s="2"/>
      <c r="P241" s="15" t="str">
        <f t="shared" si="103"/>
        <v/>
      </c>
      <c r="Q241" s="15">
        <f>IF(P241="",0,AVERAGE(P$10:P241))</f>
        <v>0</v>
      </c>
      <c r="R241" s="15">
        <f>IF(P240="",0,VAR(P$10:P241))</f>
        <v>0</v>
      </c>
      <c r="T241" s="2"/>
      <c r="U241" s="15" t="str">
        <f t="shared" si="110"/>
        <v/>
      </c>
      <c r="V241" s="15">
        <f>IF(U241="",0,AVERAGE(U$10:U241))</f>
        <v>0</v>
      </c>
      <c r="W241" s="15">
        <f>IF(U240="",0,VAR(U$10:U241))</f>
        <v>0</v>
      </c>
      <c r="Y241" s="2"/>
      <c r="Z241" s="15" t="str">
        <f t="shared" si="104"/>
        <v/>
      </c>
      <c r="AA241" s="15">
        <f>IF(Z241="",0,AVERAGE(Z$10:Z241))</f>
        <v>0</v>
      </c>
      <c r="AB241" s="15">
        <f>IF(Z240="",0,VAR(Z$10:Z241))</f>
        <v>0</v>
      </c>
      <c r="AD241" s="2"/>
      <c r="AE241" s="15" t="str">
        <f t="shared" si="111"/>
        <v/>
      </c>
      <c r="AF241" s="15">
        <f>IF(AE241="",0,AVERAGE(AE$10:AE241))</f>
        <v>0</v>
      </c>
      <c r="AG241" s="15">
        <f>IF(AE240="",0,VAR(AE$10:AE241))</f>
        <v>0</v>
      </c>
      <c r="AI241" s="2"/>
      <c r="AJ241" s="15" t="str">
        <f t="shared" si="106"/>
        <v/>
      </c>
      <c r="AK241" s="15">
        <f>IF(AJ241="",0,AVERAGE(AJ$10:AJ241))</f>
        <v>0</v>
      </c>
      <c r="AL241" s="15">
        <f>IF(AJ240="",0,VAR(AJ$10:AJ241))</f>
        <v>0</v>
      </c>
      <c r="AN241" s="2"/>
      <c r="AO241" s="15" t="str">
        <f t="shared" si="107"/>
        <v/>
      </c>
      <c r="AP241" s="15">
        <f>IF(AO241="",0,AVERAGE(AO$10:AO241))</f>
        <v>0</v>
      </c>
      <c r="AQ241" s="15">
        <f>IF(AO240="",0,VAR(AO$10:AO241))</f>
        <v>0</v>
      </c>
      <c r="AS241" s="2"/>
      <c r="AT241" s="15" t="str">
        <f t="shared" si="108"/>
        <v/>
      </c>
      <c r="AU241" s="15">
        <f>IF(AT241="",0,AVERAGE(AT$10:AT241))</f>
        <v>0</v>
      </c>
      <c r="AV241" s="15">
        <f>IF(AT240="",0,VAR(AT$10:AT241))</f>
        <v>0</v>
      </c>
      <c r="AX241" s="2"/>
      <c r="AY241" s="15" t="str">
        <f t="shared" si="109"/>
        <v/>
      </c>
      <c r="AZ241" s="15">
        <f>IF(AY241="",0,AVERAGE(AY$10:AY241))</f>
        <v>0</v>
      </c>
      <c r="BA241" s="15">
        <f>IF(AY240="",0,VAR(AY$10:AY241))</f>
        <v>0</v>
      </c>
    </row>
    <row r="242" spans="3:53" x14ac:dyDescent="0.25">
      <c r="C242" s="2"/>
      <c r="E242" s="2"/>
      <c r="F242" s="15" t="str">
        <f t="shared" si="101"/>
        <v/>
      </c>
      <c r="G242" s="15">
        <f>IF(F242="",0,AVERAGE($F$10:F242))</f>
        <v>0</v>
      </c>
      <c r="H242" s="15">
        <f>IF(F241="",0,VAR($F$10:F242))</f>
        <v>0</v>
      </c>
      <c r="J242" s="2"/>
      <c r="K242" s="15" t="str">
        <f t="shared" si="102"/>
        <v/>
      </c>
      <c r="L242" s="15">
        <f>IF(K242="",0,AVERAGE($K$10:K242))</f>
        <v>0</v>
      </c>
      <c r="M242" s="15">
        <f>IF(K241="",0,VAR($K$10:K242))</f>
        <v>0</v>
      </c>
      <c r="O242" s="2"/>
      <c r="P242" s="15" t="str">
        <f t="shared" si="103"/>
        <v/>
      </c>
      <c r="Q242" s="15">
        <f>IF(P242="",0,AVERAGE(P$10:P242))</f>
        <v>0</v>
      </c>
      <c r="R242" s="15">
        <f>IF(P241="",0,VAR(P$10:P242))</f>
        <v>0</v>
      </c>
      <c r="T242" s="2"/>
      <c r="U242" s="15" t="str">
        <f t="shared" si="110"/>
        <v/>
      </c>
      <c r="V242" s="15">
        <f>IF(U242="",0,AVERAGE(U$10:U242))</f>
        <v>0</v>
      </c>
      <c r="W242" s="15">
        <f>IF(U241="",0,VAR(U$10:U242))</f>
        <v>0</v>
      </c>
      <c r="Y242" s="2"/>
      <c r="Z242" s="15" t="str">
        <f t="shared" si="104"/>
        <v/>
      </c>
      <c r="AA242" s="15">
        <f>IF(Z242="",0,AVERAGE(Z$10:Z242))</f>
        <v>0</v>
      </c>
      <c r="AB242" s="15">
        <f>IF(Z241="",0,VAR(Z$10:Z242))</f>
        <v>0</v>
      </c>
      <c r="AD242" s="2"/>
      <c r="AE242" s="15" t="str">
        <f t="shared" si="111"/>
        <v/>
      </c>
      <c r="AF242" s="15">
        <f>IF(AE242="",0,AVERAGE(AE$10:AE242))</f>
        <v>0</v>
      </c>
      <c r="AG242" s="15">
        <f>IF(AE241="",0,VAR(AE$10:AE242))</f>
        <v>0</v>
      </c>
      <c r="AI242" s="2"/>
      <c r="AJ242" s="15" t="str">
        <f t="shared" si="106"/>
        <v/>
      </c>
      <c r="AK242" s="15">
        <f>IF(AJ242="",0,AVERAGE(AJ$10:AJ242))</f>
        <v>0</v>
      </c>
      <c r="AL242" s="15">
        <f>IF(AJ241="",0,VAR(AJ$10:AJ242))</f>
        <v>0</v>
      </c>
      <c r="AN242" s="2"/>
      <c r="AO242" s="15" t="str">
        <f t="shared" si="107"/>
        <v/>
      </c>
      <c r="AP242" s="15">
        <f>IF(AO242="",0,AVERAGE(AO$10:AO242))</f>
        <v>0</v>
      </c>
      <c r="AQ242" s="15">
        <f>IF(AO241="",0,VAR(AO$10:AO242))</f>
        <v>0</v>
      </c>
      <c r="AS242" s="2"/>
      <c r="AT242" s="15" t="str">
        <f t="shared" si="108"/>
        <v/>
      </c>
      <c r="AU242" s="15">
        <f>IF(AT242="",0,AVERAGE(AT$10:AT242))</f>
        <v>0</v>
      </c>
      <c r="AV242" s="15">
        <f>IF(AT241="",0,VAR(AT$10:AT242))</f>
        <v>0</v>
      </c>
      <c r="AX242" s="2"/>
      <c r="AY242" s="15" t="str">
        <f t="shared" si="109"/>
        <v/>
      </c>
      <c r="AZ242" s="15">
        <f>IF(AY242="",0,AVERAGE(AY$10:AY242))</f>
        <v>0</v>
      </c>
      <c r="BA242" s="15">
        <f>IF(AY241="",0,VAR(AY$10:AY242))</f>
        <v>0</v>
      </c>
    </row>
    <row r="243" spans="3:53" x14ac:dyDescent="0.25">
      <c r="C243" s="2"/>
      <c r="E243" s="2"/>
      <c r="F243" s="15"/>
      <c r="G243" s="15">
        <f>IF(F243="",0,AVERAGE($F$10:F243))</f>
        <v>0</v>
      </c>
      <c r="H243" s="15">
        <f>IF(F242="",0,VAR($F$10:F243))</f>
        <v>0</v>
      </c>
      <c r="J243" s="2"/>
      <c r="K243" s="15" t="str">
        <f t="shared" si="102"/>
        <v/>
      </c>
      <c r="L243" s="15">
        <f>IF(K243="",0,AVERAGE($K$10:K243))</f>
        <v>0</v>
      </c>
      <c r="M243" s="15">
        <f>IF(K242="",0,VAR($K$10:K243))</f>
        <v>0</v>
      </c>
      <c r="O243" s="2"/>
      <c r="P243" s="15" t="str">
        <f t="shared" si="103"/>
        <v/>
      </c>
      <c r="Q243" s="15">
        <f>IF(P243="",0,AVERAGE(P$10:P243))</f>
        <v>0</v>
      </c>
      <c r="R243" s="15">
        <f>IF(P242="",0,VAR(P$10:P243))</f>
        <v>0</v>
      </c>
      <c r="T243" s="2"/>
      <c r="U243" s="15" t="str">
        <f t="shared" si="110"/>
        <v/>
      </c>
      <c r="V243" s="15">
        <f>IF(U243="",0,AVERAGE(U$10:U243))</f>
        <v>0</v>
      </c>
      <c r="W243" s="15">
        <f>IF(U242="",0,VAR(U$10:U243))</f>
        <v>0</v>
      </c>
      <c r="Y243" s="2"/>
      <c r="Z243" s="15" t="str">
        <f t="shared" si="104"/>
        <v/>
      </c>
      <c r="AA243" s="15">
        <f>IF(Z243="",0,AVERAGE(Z$10:Z243))</f>
        <v>0</v>
      </c>
      <c r="AB243" s="15">
        <f>IF(Z242="",0,VAR(Z$10:Z243))</f>
        <v>0</v>
      </c>
      <c r="AD243" s="2"/>
      <c r="AE243" s="15" t="str">
        <f t="shared" si="111"/>
        <v/>
      </c>
      <c r="AF243" s="15">
        <f>IF(AE243="",0,AVERAGE(AE$10:AE243))</f>
        <v>0</v>
      </c>
      <c r="AG243" s="15">
        <f>IF(AE242="",0,VAR(AE$10:AE243))</f>
        <v>0</v>
      </c>
      <c r="AI243" s="2"/>
      <c r="AJ243" s="15" t="str">
        <f t="shared" si="106"/>
        <v/>
      </c>
      <c r="AK243" s="15">
        <f>IF(AJ243="",0,AVERAGE(AJ$10:AJ243))</f>
        <v>0</v>
      </c>
      <c r="AL243" s="15">
        <f>IF(AJ242="",0,VAR(AJ$10:AJ243))</f>
        <v>0</v>
      </c>
      <c r="AN243" s="2"/>
      <c r="AO243" s="15" t="str">
        <f t="shared" si="107"/>
        <v/>
      </c>
      <c r="AP243" s="15">
        <f>IF(AO243="",0,AVERAGE(AO$10:AO243))</f>
        <v>0</v>
      </c>
      <c r="AQ243" s="15">
        <f>IF(AO242="",0,VAR(AO$10:AO243))</f>
        <v>0</v>
      </c>
      <c r="AS243" s="2"/>
      <c r="AT243" s="15" t="str">
        <f t="shared" si="108"/>
        <v/>
      </c>
      <c r="AU243" s="15">
        <f>IF(AT243="",0,AVERAGE(AT$10:AT243))</f>
        <v>0</v>
      </c>
      <c r="AV243" s="15">
        <f>IF(AT242="",0,VAR(AT$10:AT243))</f>
        <v>0</v>
      </c>
      <c r="AX243" s="2"/>
      <c r="AY243" s="15" t="str">
        <f t="shared" si="109"/>
        <v/>
      </c>
      <c r="AZ243" s="15">
        <f>IF(AY243="",0,AVERAGE(AY$10:AY243))</f>
        <v>0</v>
      </c>
      <c r="BA243" s="15">
        <f>IF(AY242="",0,VAR(AY$10:AY243))</f>
        <v>0</v>
      </c>
    </row>
    <row r="244" spans="3:53" x14ac:dyDescent="0.25">
      <c r="C244" s="2"/>
      <c r="E244" s="2"/>
      <c r="F244" s="15" t="str">
        <f t="shared" ref="F244" si="124">IF(E244="","",+(E244-E243)/E243)</f>
        <v/>
      </c>
      <c r="G244" s="15">
        <f>IF(F244="",0,AVERAGE($F$10:F244))</f>
        <v>0</v>
      </c>
      <c r="H244" s="15">
        <f>IF(F243="",0,VAR($F$10:F244))</f>
        <v>0</v>
      </c>
      <c r="J244" s="2"/>
      <c r="K244" s="15" t="str">
        <f t="shared" si="102"/>
        <v/>
      </c>
      <c r="L244" s="15">
        <f>IF(K244="",0,AVERAGE($K$10:K244))</f>
        <v>0</v>
      </c>
      <c r="M244" s="15">
        <f>IF(K243="",0,VAR($K$10:K244))</f>
        <v>0</v>
      </c>
      <c r="O244" s="2"/>
      <c r="P244" s="15" t="str">
        <f t="shared" si="103"/>
        <v/>
      </c>
      <c r="Q244" s="15">
        <f>IF(P244="",0,AVERAGE(P$10:P244))</f>
        <v>0</v>
      </c>
      <c r="R244" s="15">
        <f>IF(P243="",0,VAR(P$10:P244))</f>
        <v>0</v>
      </c>
      <c r="T244" s="2"/>
      <c r="U244" s="15" t="str">
        <f t="shared" si="110"/>
        <v/>
      </c>
      <c r="V244" s="15">
        <f>IF(U244="",0,AVERAGE(U$10:U244))</f>
        <v>0</v>
      </c>
      <c r="W244" s="15">
        <f>IF(U243="",0,VAR(U$10:U244))</f>
        <v>0</v>
      </c>
      <c r="Y244" s="2"/>
      <c r="Z244" s="15" t="str">
        <f t="shared" si="104"/>
        <v/>
      </c>
      <c r="AA244" s="15">
        <f>IF(Z244="",0,AVERAGE(Z$10:Z244))</f>
        <v>0</v>
      </c>
      <c r="AB244" s="15">
        <f>IF(Z243="",0,VAR(Z$10:Z244))</f>
        <v>0</v>
      </c>
      <c r="AD244" s="2"/>
      <c r="AE244" s="15" t="str">
        <f t="shared" si="111"/>
        <v/>
      </c>
      <c r="AF244" s="15">
        <f>IF(AE244="",0,AVERAGE(AE$10:AE244))</f>
        <v>0</v>
      </c>
      <c r="AG244" s="15">
        <f>IF(AE243="",0,VAR(AE$10:AE244))</f>
        <v>0</v>
      </c>
      <c r="AI244" s="2"/>
      <c r="AJ244" s="15" t="str">
        <f t="shared" si="106"/>
        <v/>
      </c>
      <c r="AK244" s="15">
        <f>IF(AJ244="",0,AVERAGE(AJ$10:AJ244))</f>
        <v>0</v>
      </c>
      <c r="AL244" s="15">
        <f>IF(AJ243="",0,VAR(AJ$10:AJ244))</f>
        <v>0</v>
      </c>
      <c r="AN244" s="2"/>
      <c r="AO244" s="15" t="str">
        <f t="shared" si="107"/>
        <v/>
      </c>
      <c r="AP244" s="15">
        <f>IF(AO244="",0,AVERAGE(AO$10:AO244))</f>
        <v>0</v>
      </c>
      <c r="AQ244" s="15">
        <f>IF(AO243="",0,VAR(AO$10:AO244))</f>
        <v>0</v>
      </c>
      <c r="AS244" s="2"/>
      <c r="AT244" s="15" t="str">
        <f t="shared" si="108"/>
        <v/>
      </c>
      <c r="AU244" s="15">
        <f>IF(AT244="",0,AVERAGE(AT$10:AT244))</f>
        <v>0</v>
      </c>
      <c r="AV244" s="15">
        <f>IF(AT243="",0,VAR(AT$10:AT244))</f>
        <v>0</v>
      </c>
      <c r="AX244" s="2"/>
      <c r="AY244" s="15" t="str">
        <f t="shared" si="109"/>
        <v/>
      </c>
      <c r="AZ244" s="15">
        <f>IF(AY244="",0,AVERAGE(AY$10:AY244))</f>
        <v>0</v>
      </c>
      <c r="BA244" s="15">
        <f>IF(AY243="",0,VAR(AY$10:AY244))</f>
        <v>0</v>
      </c>
    </row>
    <row r="245" spans="3:53" x14ac:dyDescent="0.25">
      <c r="C245" s="2"/>
      <c r="E245" s="2"/>
      <c r="F245" s="15" t="str">
        <f t="shared" si="101"/>
        <v/>
      </c>
      <c r="G245" s="15">
        <f>IF(F245="",0,AVERAGE($F$10:F245))</f>
        <v>0</v>
      </c>
      <c r="H245" s="15">
        <f>IF(F244="",0,VAR($F$10:F245))</f>
        <v>0</v>
      </c>
      <c r="J245" s="2"/>
      <c r="K245" s="15" t="str">
        <f t="shared" si="102"/>
        <v/>
      </c>
      <c r="L245" s="15">
        <f>IF(K245="",0,AVERAGE($K$10:K245))</f>
        <v>0</v>
      </c>
      <c r="M245" s="15">
        <f>IF(K244="",0,VAR($K$10:K245))</f>
        <v>0</v>
      </c>
      <c r="O245" s="2"/>
      <c r="P245" s="15" t="str">
        <f t="shared" si="103"/>
        <v/>
      </c>
      <c r="Q245" s="15">
        <f>IF(P245="",0,AVERAGE(P$10:P245))</f>
        <v>0</v>
      </c>
      <c r="R245" s="15">
        <f>IF(P244="",0,VAR(P$10:P245))</f>
        <v>0</v>
      </c>
      <c r="T245" s="2"/>
      <c r="U245" s="15" t="str">
        <f t="shared" si="110"/>
        <v/>
      </c>
      <c r="V245" s="15">
        <f>IF(U245="",0,AVERAGE(U$10:U245))</f>
        <v>0</v>
      </c>
      <c r="W245" s="15">
        <f>IF(U244="",0,VAR(U$10:U245))</f>
        <v>0</v>
      </c>
      <c r="Y245" s="2"/>
      <c r="Z245" s="15" t="str">
        <f t="shared" si="104"/>
        <v/>
      </c>
      <c r="AA245" s="15">
        <f>IF(Z245="",0,AVERAGE(Z$10:Z245))</f>
        <v>0</v>
      </c>
      <c r="AB245" s="15">
        <f>IF(Z244="",0,VAR(Z$10:Z245))</f>
        <v>0</v>
      </c>
      <c r="AD245" s="2"/>
      <c r="AE245" s="15" t="str">
        <f t="shared" si="111"/>
        <v/>
      </c>
      <c r="AF245" s="15">
        <f>IF(AE245="",0,AVERAGE(AE$10:AE245))</f>
        <v>0</v>
      </c>
      <c r="AG245" s="15">
        <f>IF(AE244="",0,VAR(AE$10:AE245))</f>
        <v>0</v>
      </c>
      <c r="AI245" s="2"/>
      <c r="AJ245" s="15" t="str">
        <f t="shared" si="106"/>
        <v/>
      </c>
      <c r="AK245" s="15">
        <f>IF(AJ245="",0,AVERAGE(AJ$10:AJ245))</f>
        <v>0</v>
      </c>
      <c r="AL245" s="15">
        <f>IF(AJ244="",0,VAR(AJ$10:AJ245))</f>
        <v>0</v>
      </c>
      <c r="AN245" s="2"/>
      <c r="AO245" s="15" t="str">
        <f t="shared" si="107"/>
        <v/>
      </c>
      <c r="AP245" s="15">
        <f>IF(AO245="",0,AVERAGE(AO$10:AO245))</f>
        <v>0</v>
      </c>
      <c r="AQ245" s="15">
        <f>IF(AO244="",0,VAR(AO$10:AO245))</f>
        <v>0</v>
      </c>
      <c r="AS245" s="2"/>
      <c r="AT245" s="15" t="str">
        <f t="shared" si="108"/>
        <v/>
      </c>
      <c r="AU245" s="15">
        <f>IF(AT245="",0,AVERAGE(AT$10:AT245))</f>
        <v>0</v>
      </c>
      <c r="AV245" s="15">
        <f>IF(AT244="",0,VAR(AT$10:AT245))</f>
        <v>0</v>
      </c>
      <c r="AX245" s="2"/>
      <c r="AY245" s="15" t="str">
        <f t="shared" si="109"/>
        <v/>
      </c>
      <c r="AZ245" s="15">
        <f>IF(AY245="",0,AVERAGE(AY$10:AY245))</f>
        <v>0</v>
      </c>
      <c r="BA245" s="15">
        <f>IF(AY244="",0,VAR(AY$10:AY245))</f>
        <v>0</v>
      </c>
    </row>
    <row r="246" spans="3:53" x14ac:dyDescent="0.25">
      <c r="C246" s="2"/>
      <c r="E246" s="2"/>
      <c r="F246" s="15"/>
      <c r="G246" s="15">
        <f>IF(F246="",0,AVERAGE($F$10:F246))</f>
        <v>0</v>
      </c>
      <c r="H246" s="15">
        <f>IF(F245="",0,VAR($F$10:F246))</f>
        <v>0</v>
      </c>
      <c r="J246" s="2"/>
      <c r="K246" s="15" t="str">
        <f t="shared" si="102"/>
        <v/>
      </c>
      <c r="L246" s="15">
        <f>IF(K246="",0,AVERAGE($K$10:K246))</f>
        <v>0</v>
      </c>
      <c r="M246" s="15">
        <f>IF(K245="",0,VAR($K$10:K246))</f>
        <v>0</v>
      </c>
      <c r="O246" s="2"/>
      <c r="P246" s="15" t="str">
        <f t="shared" si="103"/>
        <v/>
      </c>
      <c r="Q246" s="15">
        <f>IF(P246="",0,AVERAGE(P$10:P246))</f>
        <v>0</v>
      </c>
      <c r="R246" s="15">
        <f>IF(P245="",0,VAR(P$10:P246))</f>
        <v>0</v>
      </c>
      <c r="T246" s="2"/>
      <c r="U246" s="15" t="str">
        <f t="shared" si="110"/>
        <v/>
      </c>
      <c r="V246" s="15">
        <f>IF(U246="",0,AVERAGE(U$10:U246))</f>
        <v>0</v>
      </c>
      <c r="W246" s="15">
        <f>IF(U245="",0,VAR(U$10:U246))</f>
        <v>0</v>
      </c>
      <c r="Y246" s="2"/>
      <c r="Z246" s="15" t="str">
        <f t="shared" si="104"/>
        <v/>
      </c>
      <c r="AA246" s="15">
        <f>IF(Z246="",0,AVERAGE(Z$10:Z246))</f>
        <v>0</v>
      </c>
      <c r="AB246" s="15">
        <f>IF(Z245="",0,VAR(Z$10:Z246))</f>
        <v>0</v>
      </c>
      <c r="AD246" s="2"/>
      <c r="AE246" s="15" t="str">
        <f t="shared" si="111"/>
        <v/>
      </c>
      <c r="AF246" s="15">
        <f>IF(AE246="",0,AVERAGE(AE$10:AE246))</f>
        <v>0</v>
      </c>
      <c r="AG246" s="15">
        <f>IF(AE245="",0,VAR(AE$10:AE246))</f>
        <v>0</v>
      </c>
      <c r="AI246" s="2"/>
      <c r="AJ246" s="15" t="str">
        <f t="shared" si="106"/>
        <v/>
      </c>
      <c r="AK246" s="15">
        <f>IF(AJ246="",0,AVERAGE(AJ$10:AJ246))</f>
        <v>0</v>
      </c>
      <c r="AL246" s="15">
        <f>IF(AJ245="",0,VAR(AJ$10:AJ246))</f>
        <v>0</v>
      </c>
      <c r="AN246" s="2"/>
      <c r="AO246" s="15" t="str">
        <f t="shared" si="107"/>
        <v/>
      </c>
      <c r="AP246" s="15">
        <f>IF(AO246="",0,AVERAGE(AO$10:AO246))</f>
        <v>0</v>
      </c>
      <c r="AQ246" s="15">
        <f>IF(AO245="",0,VAR(AO$10:AO246))</f>
        <v>0</v>
      </c>
      <c r="AS246" s="2"/>
      <c r="AT246" s="15" t="str">
        <f t="shared" si="108"/>
        <v/>
      </c>
      <c r="AU246" s="15">
        <f>IF(AT246="",0,AVERAGE(AT$10:AT246))</f>
        <v>0</v>
      </c>
      <c r="AV246" s="15">
        <f>IF(AT245="",0,VAR(AT$10:AT246))</f>
        <v>0</v>
      </c>
      <c r="AX246" s="2"/>
      <c r="AY246" s="15" t="str">
        <f t="shared" si="109"/>
        <v/>
      </c>
      <c r="AZ246" s="15">
        <f>IF(AY246="",0,AVERAGE(AY$10:AY246))</f>
        <v>0</v>
      </c>
      <c r="BA246" s="15">
        <f>IF(AY245="",0,VAR(AY$10:AY246))</f>
        <v>0</v>
      </c>
    </row>
    <row r="247" spans="3:53" x14ac:dyDescent="0.25">
      <c r="C247" s="2"/>
      <c r="E247" s="2"/>
      <c r="F247" s="15" t="str">
        <f t="shared" ref="F247" si="125">IF(E247="","",+(E247-E246)/E246)</f>
        <v/>
      </c>
      <c r="G247" s="15">
        <f>IF(F247="",0,AVERAGE($F$10:F247))</f>
        <v>0</v>
      </c>
      <c r="H247" s="15">
        <f>IF(F246="",0,VAR($F$10:F247))</f>
        <v>0</v>
      </c>
      <c r="J247" s="2"/>
      <c r="K247" s="15" t="str">
        <f t="shared" si="102"/>
        <v/>
      </c>
      <c r="L247" s="15">
        <f>IF(K247="",0,AVERAGE($K$10:K247))</f>
        <v>0</v>
      </c>
      <c r="M247" s="15">
        <f>IF(K246="",0,VAR($K$10:K247))</f>
        <v>0</v>
      </c>
      <c r="O247" s="2"/>
      <c r="P247" s="15" t="str">
        <f t="shared" si="103"/>
        <v/>
      </c>
      <c r="Q247" s="15">
        <f>IF(P247="",0,AVERAGE(P$10:P247))</f>
        <v>0</v>
      </c>
      <c r="R247" s="15">
        <f>IF(P246="",0,VAR(P$10:P247))</f>
        <v>0</v>
      </c>
      <c r="T247" s="2"/>
      <c r="U247" s="15" t="str">
        <f t="shared" si="110"/>
        <v/>
      </c>
      <c r="V247" s="15">
        <f>IF(U247="",0,AVERAGE(U$10:U247))</f>
        <v>0</v>
      </c>
      <c r="W247" s="15">
        <f>IF(U246="",0,VAR(U$10:U247))</f>
        <v>0</v>
      </c>
      <c r="Y247" s="2"/>
      <c r="Z247" s="15" t="str">
        <f t="shared" si="104"/>
        <v/>
      </c>
      <c r="AA247" s="15">
        <f>IF(Z247="",0,AVERAGE(Z$10:Z247))</f>
        <v>0</v>
      </c>
      <c r="AB247" s="15">
        <f>IF(Z246="",0,VAR(Z$10:Z247))</f>
        <v>0</v>
      </c>
      <c r="AD247" s="2"/>
      <c r="AE247" s="15" t="str">
        <f t="shared" si="111"/>
        <v/>
      </c>
      <c r="AF247" s="15">
        <f>IF(AE247="",0,AVERAGE(AE$10:AE247))</f>
        <v>0</v>
      </c>
      <c r="AG247" s="15">
        <f>IF(AE246="",0,VAR(AE$10:AE247))</f>
        <v>0</v>
      </c>
      <c r="AI247" s="2"/>
      <c r="AJ247" s="15" t="str">
        <f t="shared" si="106"/>
        <v/>
      </c>
      <c r="AK247" s="15">
        <f>IF(AJ247="",0,AVERAGE(AJ$10:AJ247))</f>
        <v>0</v>
      </c>
      <c r="AL247" s="15">
        <f>IF(AJ246="",0,VAR(AJ$10:AJ247))</f>
        <v>0</v>
      </c>
      <c r="AN247" s="2"/>
      <c r="AO247" s="15" t="str">
        <f t="shared" si="107"/>
        <v/>
      </c>
      <c r="AP247" s="15">
        <f>IF(AO247="",0,AVERAGE(AO$10:AO247))</f>
        <v>0</v>
      </c>
      <c r="AQ247" s="15">
        <f>IF(AO246="",0,VAR(AO$10:AO247))</f>
        <v>0</v>
      </c>
      <c r="AS247" s="2"/>
      <c r="AT247" s="15" t="str">
        <f t="shared" si="108"/>
        <v/>
      </c>
      <c r="AU247" s="15">
        <f>IF(AT247="",0,AVERAGE(AT$10:AT247))</f>
        <v>0</v>
      </c>
      <c r="AV247" s="15">
        <f>IF(AT246="",0,VAR(AT$10:AT247))</f>
        <v>0</v>
      </c>
      <c r="AX247" s="2"/>
      <c r="AY247" s="15" t="str">
        <f t="shared" si="109"/>
        <v/>
      </c>
      <c r="AZ247" s="15">
        <f>IF(AY247="",0,AVERAGE(AY$10:AY247))</f>
        <v>0</v>
      </c>
      <c r="BA247" s="15">
        <f>IF(AY246="",0,VAR(AY$10:AY247))</f>
        <v>0</v>
      </c>
    </row>
    <row r="248" spans="3:53" x14ac:dyDescent="0.25">
      <c r="C248" s="2"/>
      <c r="E248" s="2"/>
      <c r="F248" s="15" t="str">
        <f t="shared" si="101"/>
        <v/>
      </c>
      <c r="G248" s="15">
        <f>IF(F248="",0,AVERAGE($F$10:F248))</f>
        <v>0</v>
      </c>
      <c r="H248" s="15">
        <f>IF(F247="",0,VAR($F$10:F248))</f>
        <v>0</v>
      </c>
      <c r="J248" s="2"/>
      <c r="K248" s="15" t="str">
        <f t="shared" si="102"/>
        <v/>
      </c>
      <c r="L248" s="15">
        <f>IF(K248="",0,AVERAGE($K$10:K248))</f>
        <v>0</v>
      </c>
      <c r="M248" s="15">
        <f>IF(K247="",0,VAR($K$10:K248))</f>
        <v>0</v>
      </c>
      <c r="O248" s="2"/>
      <c r="P248" s="15" t="str">
        <f t="shared" si="103"/>
        <v/>
      </c>
      <c r="Q248" s="15">
        <f>IF(P248="",0,AVERAGE(P$10:P248))</f>
        <v>0</v>
      </c>
      <c r="R248" s="15">
        <f>IF(P247="",0,VAR(P$10:P248))</f>
        <v>0</v>
      </c>
      <c r="T248" s="2"/>
      <c r="U248" s="15" t="str">
        <f t="shared" si="110"/>
        <v/>
      </c>
      <c r="V248" s="15">
        <f>IF(U248="",0,AVERAGE(U$10:U248))</f>
        <v>0</v>
      </c>
      <c r="W248" s="15">
        <f>IF(U247="",0,VAR(U$10:U248))</f>
        <v>0</v>
      </c>
      <c r="Y248" s="2"/>
      <c r="Z248" s="15" t="str">
        <f t="shared" si="104"/>
        <v/>
      </c>
      <c r="AA248" s="15">
        <f>IF(Z248="",0,AVERAGE(Z$10:Z248))</f>
        <v>0</v>
      </c>
      <c r="AB248" s="15">
        <f>IF(Z247="",0,VAR(Z$10:Z248))</f>
        <v>0</v>
      </c>
      <c r="AD248" s="2"/>
      <c r="AE248" s="15" t="str">
        <f t="shared" si="111"/>
        <v/>
      </c>
      <c r="AF248" s="15">
        <f>IF(AE248="",0,AVERAGE(AE$10:AE248))</f>
        <v>0</v>
      </c>
      <c r="AG248" s="15">
        <f>IF(AE247="",0,VAR(AE$10:AE248))</f>
        <v>0</v>
      </c>
      <c r="AI248" s="2"/>
      <c r="AJ248" s="15" t="str">
        <f t="shared" si="106"/>
        <v/>
      </c>
      <c r="AK248" s="15">
        <f>IF(AJ248="",0,AVERAGE(AJ$10:AJ248))</f>
        <v>0</v>
      </c>
      <c r="AL248" s="15">
        <f>IF(AJ247="",0,VAR(AJ$10:AJ248))</f>
        <v>0</v>
      </c>
      <c r="AN248" s="2"/>
      <c r="AO248" s="15" t="str">
        <f t="shared" si="107"/>
        <v/>
      </c>
      <c r="AP248" s="15">
        <f>IF(AO248="",0,AVERAGE(AO$10:AO248))</f>
        <v>0</v>
      </c>
      <c r="AQ248" s="15">
        <f>IF(AO247="",0,VAR(AO$10:AO248))</f>
        <v>0</v>
      </c>
      <c r="AS248" s="2"/>
      <c r="AT248" s="15" t="str">
        <f t="shared" si="108"/>
        <v/>
      </c>
      <c r="AU248" s="15">
        <f>IF(AT248="",0,AVERAGE(AT$10:AT248))</f>
        <v>0</v>
      </c>
      <c r="AV248" s="15">
        <f>IF(AT247="",0,VAR(AT$10:AT248))</f>
        <v>0</v>
      </c>
      <c r="AX248" s="2"/>
      <c r="AY248" s="15" t="str">
        <f t="shared" si="109"/>
        <v/>
      </c>
      <c r="AZ248" s="15">
        <f>IF(AY248="",0,AVERAGE(AY$10:AY248))</f>
        <v>0</v>
      </c>
      <c r="BA248" s="15">
        <f>IF(AY247="",0,VAR(AY$10:AY248))</f>
        <v>0</v>
      </c>
    </row>
    <row r="249" spans="3:53" x14ac:dyDescent="0.25">
      <c r="C249" s="2"/>
      <c r="E249" s="2"/>
      <c r="F249" s="15"/>
      <c r="G249" s="15">
        <f>IF(F249="",0,AVERAGE($F$10:F249))</f>
        <v>0</v>
      </c>
      <c r="H249" s="15">
        <f>IF(F248="",0,VAR($F$10:F249))</f>
        <v>0</v>
      </c>
      <c r="J249" s="2"/>
      <c r="K249" s="15" t="str">
        <f t="shared" si="102"/>
        <v/>
      </c>
      <c r="L249" s="15">
        <f>IF(K249="",0,AVERAGE($K$10:K249))</f>
        <v>0</v>
      </c>
      <c r="M249" s="15">
        <f>IF(K248="",0,VAR($K$10:K249))</f>
        <v>0</v>
      </c>
      <c r="O249" s="2"/>
      <c r="P249" s="15" t="str">
        <f t="shared" si="103"/>
        <v/>
      </c>
      <c r="Q249" s="15">
        <f>IF(P249="",0,AVERAGE(P$10:P249))</f>
        <v>0</v>
      </c>
      <c r="R249" s="15">
        <f>IF(P248="",0,VAR(P$10:P249))</f>
        <v>0</v>
      </c>
      <c r="T249" s="2"/>
      <c r="U249" s="15" t="str">
        <f t="shared" si="110"/>
        <v/>
      </c>
      <c r="V249" s="15">
        <f>IF(U249="",0,AVERAGE(U$10:U249))</f>
        <v>0</v>
      </c>
      <c r="W249" s="15">
        <f>IF(U248="",0,VAR(U$10:U249))</f>
        <v>0</v>
      </c>
      <c r="Y249" s="2"/>
      <c r="Z249" s="15" t="str">
        <f t="shared" si="104"/>
        <v/>
      </c>
      <c r="AA249" s="15">
        <f>IF(Z249="",0,AVERAGE(Z$10:Z249))</f>
        <v>0</v>
      </c>
      <c r="AB249" s="15">
        <f>IF(Z248="",0,VAR(Z$10:Z249))</f>
        <v>0</v>
      </c>
      <c r="AD249" s="2"/>
      <c r="AE249" s="15" t="str">
        <f t="shared" si="111"/>
        <v/>
      </c>
      <c r="AF249" s="15">
        <f>IF(AE249="",0,AVERAGE(AE$10:AE249))</f>
        <v>0</v>
      </c>
      <c r="AG249" s="15">
        <f>IF(AE248="",0,VAR(AE$10:AE249))</f>
        <v>0</v>
      </c>
      <c r="AI249" s="2"/>
      <c r="AJ249" s="15" t="str">
        <f t="shared" si="106"/>
        <v/>
      </c>
      <c r="AK249" s="15">
        <f>IF(AJ249="",0,AVERAGE(AJ$10:AJ249))</f>
        <v>0</v>
      </c>
      <c r="AL249" s="15">
        <f>IF(AJ248="",0,VAR(AJ$10:AJ249))</f>
        <v>0</v>
      </c>
      <c r="AN249" s="2"/>
      <c r="AO249" s="15" t="str">
        <f t="shared" si="107"/>
        <v/>
      </c>
      <c r="AP249" s="15">
        <f>IF(AO249="",0,AVERAGE(AO$10:AO249))</f>
        <v>0</v>
      </c>
      <c r="AQ249" s="15">
        <f>IF(AO248="",0,VAR(AO$10:AO249))</f>
        <v>0</v>
      </c>
      <c r="AS249" s="2"/>
      <c r="AT249" s="15" t="str">
        <f t="shared" si="108"/>
        <v/>
      </c>
      <c r="AU249" s="15">
        <f>IF(AT249="",0,AVERAGE(AT$10:AT249))</f>
        <v>0</v>
      </c>
      <c r="AV249" s="15">
        <f>IF(AT248="",0,VAR(AT$10:AT249))</f>
        <v>0</v>
      </c>
      <c r="AX249" s="2"/>
      <c r="AY249" s="15" t="str">
        <f t="shared" si="109"/>
        <v/>
      </c>
      <c r="AZ249" s="15">
        <f>IF(AY249="",0,AVERAGE(AY$10:AY249))</f>
        <v>0</v>
      </c>
      <c r="BA249" s="15">
        <f>IF(AY248="",0,VAR(AY$10:AY249))</f>
        <v>0</v>
      </c>
    </row>
    <row r="250" spans="3:53" x14ac:dyDescent="0.25">
      <c r="C250" s="2"/>
      <c r="E250" s="2"/>
      <c r="F250" s="15" t="str">
        <f t="shared" ref="F250" si="126">IF(E250="","",+(E250-E249)/E249)</f>
        <v/>
      </c>
      <c r="G250" s="15">
        <f>IF(F250="",0,AVERAGE($F$10:F250))</f>
        <v>0</v>
      </c>
      <c r="H250" s="15">
        <f>IF(F249="",0,VAR($F$10:F250))</f>
        <v>0</v>
      </c>
      <c r="J250" s="2"/>
      <c r="K250" s="15" t="str">
        <f t="shared" si="102"/>
        <v/>
      </c>
      <c r="L250" s="15">
        <f>IF(K250="",0,AVERAGE($K$10:K250))</f>
        <v>0</v>
      </c>
      <c r="M250" s="15">
        <f>IF(K249="",0,VAR($K$10:K250))</f>
        <v>0</v>
      </c>
      <c r="O250" s="2"/>
      <c r="P250" s="15" t="str">
        <f t="shared" si="103"/>
        <v/>
      </c>
      <c r="Q250" s="15">
        <f>IF(P250="",0,AVERAGE(P$10:P250))</f>
        <v>0</v>
      </c>
      <c r="R250" s="15">
        <f>IF(P249="",0,VAR(P$10:P250))</f>
        <v>0</v>
      </c>
      <c r="T250" s="2"/>
      <c r="U250" s="15" t="str">
        <f t="shared" si="110"/>
        <v/>
      </c>
      <c r="V250" s="15">
        <f>IF(U250="",0,AVERAGE(U$10:U250))</f>
        <v>0</v>
      </c>
      <c r="W250" s="15">
        <f>IF(U249="",0,VAR(U$10:U250))</f>
        <v>0</v>
      </c>
      <c r="Y250" s="2"/>
      <c r="Z250" s="15" t="str">
        <f t="shared" si="104"/>
        <v/>
      </c>
      <c r="AA250" s="15">
        <f>IF(Z250="",0,AVERAGE(Z$10:Z250))</f>
        <v>0</v>
      </c>
      <c r="AB250" s="15">
        <f>IF(Z249="",0,VAR(Z$10:Z250))</f>
        <v>0</v>
      </c>
      <c r="AD250" s="2"/>
      <c r="AE250" s="15" t="str">
        <f t="shared" si="111"/>
        <v/>
      </c>
      <c r="AF250" s="15">
        <f>IF(AE250="",0,AVERAGE(AE$10:AE250))</f>
        <v>0</v>
      </c>
      <c r="AG250" s="15">
        <f>IF(AE249="",0,VAR(AE$10:AE250))</f>
        <v>0</v>
      </c>
      <c r="AI250" s="2"/>
      <c r="AJ250" s="15" t="str">
        <f t="shared" si="106"/>
        <v/>
      </c>
      <c r="AK250" s="15">
        <f>IF(AJ250="",0,AVERAGE(AJ$10:AJ250))</f>
        <v>0</v>
      </c>
      <c r="AL250" s="15">
        <f>IF(AJ249="",0,VAR(AJ$10:AJ250))</f>
        <v>0</v>
      </c>
      <c r="AN250" s="2"/>
      <c r="AO250" s="15" t="str">
        <f t="shared" si="107"/>
        <v/>
      </c>
      <c r="AP250" s="15">
        <f>IF(AO250="",0,AVERAGE(AO$10:AO250))</f>
        <v>0</v>
      </c>
      <c r="AQ250" s="15">
        <f>IF(AO249="",0,VAR(AO$10:AO250))</f>
        <v>0</v>
      </c>
      <c r="AS250" s="2"/>
      <c r="AT250" s="15" t="str">
        <f t="shared" si="108"/>
        <v/>
      </c>
      <c r="AU250" s="15">
        <f>IF(AT250="",0,AVERAGE(AT$10:AT250))</f>
        <v>0</v>
      </c>
      <c r="AV250" s="15">
        <f>IF(AT249="",0,VAR(AT$10:AT250))</f>
        <v>0</v>
      </c>
      <c r="AX250" s="2"/>
      <c r="AY250" s="15" t="str">
        <f t="shared" si="109"/>
        <v/>
      </c>
      <c r="AZ250" s="15">
        <f>IF(AY250="",0,AVERAGE(AY$10:AY250))</f>
        <v>0</v>
      </c>
      <c r="BA250" s="15">
        <f>IF(AY249="",0,VAR(AY$10:AY250))</f>
        <v>0</v>
      </c>
    </row>
    <row r="251" spans="3:53" x14ac:dyDescent="0.25">
      <c r="C251" s="2"/>
      <c r="E251" s="2"/>
      <c r="F251" s="15" t="str">
        <f t="shared" si="101"/>
        <v/>
      </c>
      <c r="G251" s="15">
        <f>IF(F251="",0,AVERAGE($F$10:F251))</f>
        <v>0</v>
      </c>
      <c r="H251" s="15">
        <f>IF(F250="",0,VAR($F$10:F251))</f>
        <v>0</v>
      </c>
      <c r="J251" s="2"/>
      <c r="K251" s="15" t="str">
        <f t="shared" si="102"/>
        <v/>
      </c>
      <c r="L251" s="15">
        <f>IF(K251="",0,AVERAGE($K$10:K251))</f>
        <v>0</v>
      </c>
      <c r="M251" s="15">
        <f>IF(K250="",0,VAR($K$10:K251))</f>
        <v>0</v>
      </c>
      <c r="O251" s="2"/>
      <c r="P251" s="15" t="str">
        <f t="shared" si="103"/>
        <v/>
      </c>
      <c r="Q251" s="15">
        <f>IF(P251="",0,AVERAGE(P$10:P251))</f>
        <v>0</v>
      </c>
      <c r="R251" s="15">
        <f>IF(P250="",0,VAR(P$10:P251))</f>
        <v>0</v>
      </c>
      <c r="T251" s="2"/>
      <c r="U251" s="15" t="str">
        <f t="shared" si="110"/>
        <v/>
      </c>
      <c r="V251" s="15">
        <f>IF(U251="",0,AVERAGE(U$10:U251))</f>
        <v>0</v>
      </c>
      <c r="W251" s="15">
        <f>IF(U250="",0,VAR(U$10:U251))</f>
        <v>0</v>
      </c>
      <c r="Y251" s="2"/>
      <c r="Z251" s="15" t="str">
        <f t="shared" si="104"/>
        <v/>
      </c>
      <c r="AA251" s="15">
        <f>IF(Z251="",0,AVERAGE(Z$10:Z251))</f>
        <v>0</v>
      </c>
      <c r="AB251" s="15">
        <f>IF(Z250="",0,VAR(Z$10:Z251))</f>
        <v>0</v>
      </c>
      <c r="AD251" s="2"/>
      <c r="AE251" s="15" t="str">
        <f t="shared" si="111"/>
        <v/>
      </c>
      <c r="AF251" s="15">
        <f>IF(AE251="",0,AVERAGE(AE$10:AE251))</f>
        <v>0</v>
      </c>
      <c r="AG251" s="15">
        <f>IF(AE250="",0,VAR(AE$10:AE251))</f>
        <v>0</v>
      </c>
      <c r="AI251" s="2"/>
      <c r="AJ251" s="15" t="str">
        <f t="shared" si="106"/>
        <v/>
      </c>
      <c r="AK251" s="15">
        <f>IF(AJ251="",0,AVERAGE(AJ$10:AJ251))</f>
        <v>0</v>
      </c>
      <c r="AL251" s="15">
        <f>IF(AJ250="",0,VAR(AJ$10:AJ251))</f>
        <v>0</v>
      </c>
      <c r="AN251" s="2"/>
      <c r="AO251" s="15" t="str">
        <f t="shared" si="107"/>
        <v/>
      </c>
      <c r="AP251" s="15">
        <f>IF(AO251="",0,AVERAGE(AO$10:AO251))</f>
        <v>0</v>
      </c>
      <c r="AQ251" s="15">
        <f>IF(AO250="",0,VAR(AO$10:AO251))</f>
        <v>0</v>
      </c>
      <c r="AS251" s="2"/>
      <c r="AT251" s="15" t="str">
        <f t="shared" si="108"/>
        <v/>
      </c>
      <c r="AU251" s="15">
        <f>IF(AT251="",0,AVERAGE(AT$10:AT251))</f>
        <v>0</v>
      </c>
      <c r="AV251" s="15">
        <f>IF(AT250="",0,VAR(AT$10:AT251))</f>
        <v>0</v>
      </c>
      <c r="AX251" s="2"/>
      <c r="AY251" s="15" t="str">
        <f t="shared" si="109"/>
        <v/>
      </c>
      <c r="AZ251" s="15">
        <f>IF(AY251="",0,AVERAGE(AY$10:AY251))</f>
        <v>0</v>
      </c>
      <c r="BA251" s="15">
        <f>IF(AY250="",0,VAR(AY$10:AY251))</f>
        <v>0</v>
      </c>
    </row>
    <row r="252" spans="3:53" x14ac:dyDescent="0.25">
      <c r="C252" s="2"/>
      <c r="E252" s="2"/>
      <c r="F252" s="15"/>
      <c r="G252" s="15">
        <f>IF(F252="",0,AVERAGE($F$10:F252))</f>
        <v>0</v>
      </c>
      <c r="H252" s="15">
        <f>IF(F251="",0,VAR($F$10:F252))</f>
        <v>0</v>
      </c>
      <c r="J252" s="2"/>
      <c r="K252" s="15" t="str">
        <f t="shared" si="102"/>
        <v/>
      </c>
      <c r="L252" s="15">
        <f>IF(K252="",0,AVERAGE($K$10:K252))</f>
        <v>0</v>
      </c>
      <c r="M252" s="15">
        <f>IF(K251="",0,VAR($K$10:K252))</f>
        <v>0</v>
      </c>
      <c r="O252" s="2"/>
      <c r="P252" s="15" t="str">
        <f t="shared" si="103"/>
        <v/>
      </c>
      <c r="Q252" s="15">
        <f>IF(P252="",0,AVERAGE(P$10:P252))</f>
        <v>0</v>
      </c>
      <c r="R252" s="15">
        <f>IF(P251="",0,VAR(P$10:P252))</f>
        <v>0</v>
      </c>
      <c r="T252" s="2"/>
      <c r="U252" s="15" t="str">
        <f t="shared" si="110"/>
        <v/>
      </c>
      <c r="V252" s="15">
        <f>IF(U252="",0,AVERAGE(U$10:U252))</f>
        <v>0</v>
      </c>
      <c r="W252" s="15">
        <f>IF(U251="",0,VAR(U$10:U252))</f>
        <v>0</v>
      </c>
      <c r="Y252" s="2"/>
      <c r="Z252" s="15" t="str">
        <f t="shared" si="104"/>
        <v/>
      </c>
      <c r="AA252" s="15">
        <f>IF(Z252="",0,AVERAGE(Z$10:Z252))</f>
        <v>0</v>
      </c>
      <c r="AB252" s="15">
        <f>IF(Z251="",0,VAR(Z$10:Z252))</f>
        <v>0</v>
      </c>
      <c r="AD252" s="2"/>
      <c r="AE252" s="15" t="str">
        <f t="shared" si="111"/>
        <v/>
      </c>
      <c r="AF252" s="15">
        <f>IF(AE252="",0,AVERAGE(AE$10:AE252))</f>
        <v>0</v>
      </c>
      <c r="AG252" s="15">
        <f>IF(AE251="",0,VAR(AE$10:AE252))</f>
        <v>0</v>
      </c>
      <c r="AI252" s="2"/>
      <c r="AJ252" s="15" t="str">
        <f t="shared" si="106"/>
        <v/>
      </c>
      <c r="AK252" s="15">
        <f>IF(AJ252="",0,AVERAGE(AJ$10:AJ252))</f>
        <v>0</v>
      </c>
      <c r="AL252" s="15">
        <f>IF(AJ251="",0,VAR(AJ$10:AJ252))</f>
        <v>0</v>
      </c>
      <c r="AN252" s="2"/>
      <c r="AO252" s="15" t="str">
        <f t="shared" si="107"/>
        <v/>
      </c>
      <c r="AP252" s="15">
        <f>IF(AO252="",0,AVERAGE(AO$10:AO252))</f>
        <v>0</v>
      </c>
      <c r="AQ252" s="15">
        <f>IF(AO251="",0,VAR(AO$10:AO252))</f>
        <v>0</v>
      </c>
      <c r="AS252" s="2"/>
      <c r="AT252" s="15" t="str">
        <f t="shared" si="108"/>
        <v/>
      </c>
      <c r="AU252" s="15">
        <f>IF(AT252="",0,AVERAGE(AT$10:AT252))</f>
        <v>0</v>
      </c>
      <c r="AV252" s="15">
        <f>IF(AT251="",0,VAR(AT$10:AT252))</f>
        <v>0</v>
      </c>
      <c r="AX252" s="2"/>
      <c r="AY252" s="15" t="str">
        <f t="shared" si="109"/>
        <v/>
      </c>
      <c r="AZ252" s="15">
        <f>IF(AY252="",0,AVERAGE(AY$10:AY252))</f>
        <v>0</v>
      </c>
      <c r="BA252" s="15">
        <f>IF(AY251="",0,VAR(AY$10:AY252))</f>
        <v>0</v>
      </c>
    </row>
    <row r="253" spans="3:53" x14ac:dyDescent="0.25">
      <c r="C253" s="2"/>
      <c r="E253" s="2"/>
      <c r="F253" s="15" t="str">
        <f t="shared" ref="F253" si="127">IF(E253="","",+(E253-E252)/E252)</f>
        <v/>
      </c>
      <c r="G253" s="15">
        <f>IF(F253="",0,AVERAGE($F$10:F253))</f>
        <v>0</v>
      </c>
      <c r="H253" s="15">
        <f>IF(F252="",0,VAR($F$10:F253))</f>
        <v>0</v>
      </c>
      <c r="J253" s="2"/>
      <c r="K253" s="15" t="str">
        <f t="shared" si="102"/>
        <v/>
      </c>
      <c r="L253" s="15">
        <f>IF(K253="",0,AVERAGE($K$10:K253))</f>
        <v>0</v>
      </c>
      <c r="M253" s="15">
        <f>IF(K252="",0,VAR($K$10:K253))</f>
        <v>0</v>
      </c>
      <c r="O253" s="2"/>
      <c r="P253" s="15" t="str">
        <f t="shared" si="103"/>
        <v/>
      </c>
      <c r="Q253" s="15">
        <f>IF(P253="",0,AVERAGE(P$10:P253))</f>
        <v>0</v>
      </c>
      <c r="R253" s="15">
        <f>IF(P252="",0,VAR(P$10:P253))</f>
        <v>0</v>
      </c>
      <c r="T253" s="2"/>
      <c r="U253" s="15" t="str">
        <f t="shared" si="110"/>
        <v/>
      </c>
      <c r="V253" s="15">
        <f>IF(U253="",0,AVERAGE(U$10:U253))</f>
        <v>0</v>
      </c>
      <c r="W253" s="15">
        <f>IF(U252="",0,VAR(U$10:U253))</f>
        <v>0</v>
      </c>
      <c r="Y253" s="2"/>
      <c r="Z253" s="15" t="str">
        <f t="shared" si="104"/>
        <v/>
      </c>
      <c r="AA253" s="15">
        <f>IF(Z253="",0,AVERAGE(Z$10:Z253))</f>
        <v>0</v>
      </c>
      <c r="AB253" s="15">
        <f>IF(Z252="",0,VAR(Z$10:Z253))</f>
        <v>0</v>
      </c>
      <c r="AD253" s="2"/>
      <c r="AE253" s="15" t="str">
        <f t="shared" si="111"/>
        <v/>
      </c>
      <c r="AF253" s="15">
        <f>IF(AE253="",0,AVERAGE(AE$10:AE253))</f>
        <v>0</v>
      </c>
      <c r="AG253" s="15">
        <f>IF(AE252="",0,VAR(AE$10:AE253))</f>
        <v>0</v>
      </c>
      <c r="AI253" s="2"/>
      <c r="AJ253" s="15" t="str">
        <f t="shared" si="106"/>
        <v/>
      </c>
      <c r="AK253" s="15">
        <f>IF(AJ253="",0,AVERAGE(AJ$10:AJ253))</f>
        <v>0</v>
      </c>
      <c r="AL253" s="15">
        <f>IF(AJ252="",0,VAR(AJ$10:AJ253))</f>
        <v>0</v>
      </c>
      <c r="AN253" s="2"/>
      <c r="AO253" s="15" t="str">
        <f t="shared" si="107"/>
        <v/>
      </c>
      <c r="AP253" s="15">
        <f>IF(AO253="",0,AVERAGE(AO$10:AO253))</f>
        <v>0</v>
      </c>
      <c r="AQ253" s="15">
        <f>IF(AO252="",0,VAR(AO$10:AO253))</f>
        <v>0</v>
      </c>
      <c r="AS253" s="2"/>
      <c r="AT253" s="15" t="str">
        <f t="shared" si="108"/>
        <v/>
      </c>
      <c r="AU253" s="15">
        <f>IF(AT253="",0,AVERAGE(AT$10:AT253))</f>
        <v>0</v>
      </c>
      <c r="AV253" s="15">
        <f>IF(AT252="",0,VAR(AT$10:AT253))</f>
        <v>0</v>
      </c>
      <c r="AX253" s="2"/>
      <c r="AY253" s="15" t="str">
        <f t="shared" si="109"/>
        <v/>
      </c>
      <c r="AZ253" s="15">
        <f>IF(AY253="",0,AVERAGE(AY$10:AY253))</f>
        <v>0</v>
      </c>
      <c r="BA253" s="15">
        <f>IF(AY252="",0,VAR(AY$10:AY253))</f>
        <v>0</v>
      </c>
    </row>
    <row r="254" spans="3:53" x14ac:dyDescent="0.25">
      <c r="C254" s="2"/>
      <c r="E254" s="2"/>
      <c r="F254" s="15" t="str">
        <f t="shared" si="101"/>
        <v/>
      </c>
      <c r="G254" s="15">
        <f>IF(F254="",0,AVERAGE($F$10:F254))</f>
        <v>0</v>
      </c>
      <c r="H254" s="15">
        <f>IF(F253="",0,VAR($F$10:F254))</f>
        <v>0</v>
      </c>
      <c r="J254" s="2"/>
      <c r="K254" s="15" t="str">
        <f t="shared" si="102"/>
        <v/>
      </c>
      <c r="L254" s="15">
        <f>IF(K254="",0,AVERAGE($K$10:K254))</f>
        <v>0</v>
      </c>
      <c r="M254" s="15">
        <f>IF(K253="",0,VAR($K$10:K254))</f>
        <v>0</v>
      </c>
      <c r="O254" s="2"/>
      <c r="P254" s="15" t="str">
        <f t="shared" si="103"/>
        <v/>
      </c>
      <c r="Q254" s="15">
        <f>IF(P254="",0,AVERAGE(P$10:P254))</f>
        <v>0</v>
      </c>
      <c r="R254" s="15">
        <f>IF(P253="",0,VAR(P$10:P254))</f>
        <v>0</v>
      </c>
      <c r="T254" s="2"/>
      <c r="U254" s="15" t="str">
        <f t="shared" si="110"/>
        <v/>
      </c>
      <c r="V254" s="15">
        <f>IF(U254="",0,AVERAGE(U$10:U254))</f>
        <v>0</v>
      </c>
      <c r="W254" s="15">
        <f>IF(U253="",0,VAR(U$10:U254))</f>
        <v>0</v>
      </c>
      <c r="Y254" s="2"/>
      <c r="Z254" s="15" t="str">
        <f t="shared" si="104"/>
        <v/>
      </c>
      <c r="AA254" s="15">
        <f>IF(Z254="",0,AVERAGE(Z$10:Z254))</f>
        <v>0</v>
      </c>
      <c r="AB254" s="15">
        <f>IF(Z253="",0,VAR(Z$10:Z254))</f>
        <v>0</v>
      </c>
      <c r="AD254" s="2"/>
      <c r="AE254" s="15" t="str">
        <f t="shared" si="111"/>
        <v/>
      </c>
      <c r="AF254" s="15">
        <f>IF(AE254="",0,AVERAGE(AE$10:AE254))</f>
        <v>0</v>
      </c>
      <c r="AG254" s="15">
        <f>IF(AE253="",0,VAR(AE$10:AE254))</f>
        <v>0</v>
      </c>
      <c r="AI254" s="2"/>
      <c r="AJ254" s="15" t="str">
        <f t="shared" si="106"/>
        <v/>
      </c>
      <c r="AK254" s="15">
        <f>IF(AJ254="",0,AVERAGE(AJ$10:AJ254))</f>
        <v>0</v>
      </c>
      <c r="AL254" s="15">
        <f>IF(AJ253="",0,VAR(AJ$10:AJ254))</f>
        <v>0</v>
      </c>
      <c r="AN254" s="2"/>
      <c r="AO254" s="15" t="str">
        <f t="shared" si="107"/>
        <v/>
      </c>
      <c r="AP254" s="15">
        <f>IF(AO254="",0,AVERAGE(AO$10:AO254))</f>
        <v>0</v>
      </c>
      <c r="AQ254" s="15">
        <f>IF(AO253="",0,VAR(AO$10:AO254))</f>
        <v>0</v>
      </c>
      <c r="AS254" s="2"/>
      <c r="AT254" s="15" t="str">
        <f t="shared" si="108"/>
        <v/>
      </c>
      <c r="AU254" s="15">
        <f>IF(AT254="",0,AVERAGE(AT$10:AT254))</f>
        <v>0</v>
      </c>
      <c r="AV254" s="15">
        <f>IF(AT253="",0,VAR(AT$10:AT254))</f>
        <v>0</v>
      </c>
      <c r="AX254" s="2"/>
      <c r="AY254" s="15" t="str">
        <f t="shared" si="109"/>
        <v/>
      </c>
      <c r="AZ254" s="15">
        <f>IF(AY254="",0,AVERAGE(AY$10:AY254))</f>
        <v>0</v>
      </c>
      <c r="BA254" s="15">
        <f>IF(AY253="",0,VAR(AY$10:AY254))</f>
        <v>0</v>
      </c>
    </row>
    <row r="255" spans="3:53" x14ac:dyDescent="0.25">
      <c r="C255" s="2"/>
      <c r="E255" s="2"/>
      <c r="F255" s="15"/>
      <c r="G255" s="15">
        <f>IF(F255="",0,AVERAGE($F$10:F255))</f>
        <v>0</v>
      </c>
      <c r="H255" s="15">
        <f>IF(F254="",0,VAR($F$10:F255))</f>
        <v>0</v>
      </c>
      <c r="J255" s="2"/>
      <c r="K255" s="15" t="str">
        <f t="shared" si="102"/>
        <v/>
      </c>
      <c r="L255" s="15">
        <f>IF(K255="",0,AVERAGE($K$10:K255))</f>
        <v>0</v>
      </c>
      <c r="M255" s="15">
        <f>IF(K254="",0,VAR($K$10:K255))</f>
        <v>0</v>
      </c>
      <c r="O255" s="2"/>
      <c r="P255" s="15" t="str">
        <f t="shared" si="103"/>
        <v/>
      </c>
      <c r="Q255" s="15">
        <f>IF(P255="",0,AVERAGE(P$10:P255))</f>
        <v>0</v>
      </c>
      <c r="R255" s="15">
        <f>IF(P254="",0,VAR(P$10:P255))</f>
        <v>0</v>
      </c>
      <c r="T255" s="2"/>
      <c r="U255" s="15" t="str">
        <f t="shared" si="110"/>
        <v/>
      </c>
      <c r="V255" s="15">
        <f>IF(U255="",0,AVERAGE(U$10:U255))</f>
        <v>0</v>
      </c>
      <c r="W255" s="15">
        <f>IF(U254="",0,VAR(U$10:U255))</f>
        <v>0</v>
      </c>
      <c r="Y255" s="2"/>
      <c r="Z255" s="15" t="str">
        <f t="shared" si="104"/>
        <v/>
      </c>
      <c r="AA255" s="15">
        <f>IF(Z255="",0,AVERAGE(Z$10:Z255))</f>
        <v>0</v>
      </c>
      <c r="AB255" s="15">
        <f>IF(Z254="",0,VAR(Z$10:Z255))</f>
        <v>0</v>
      </c>
      <c r="AD255" s="2"/>
      <c r="AE255" s="15" t="str">
        <f t="shared" si="111"/>
        <v/>
      </c>
      <c r="AF255" s="15">
        <f>IF(AE255="",0,AVERAGE(AE$10:AE255))</f>
        <v>0</v>
      </c>
      <c r="AG255" s="15">
        <f>IF(AE254="",0,VAR(AE$10:AE255))</f>
        <v>0</v>
      </c>
      <c r="AI255" s="2"/>
      <c r="AJ255" s="15" t="str">
        <f t="shared" si="106"/>
        <v/>
      </c>
      <c r="AK255" s="15">
        <f>IF(AJ255="",0,AVERAGE(AJ$10:AJ255))</f>
        <v>0</v>
      </c>
      <c r="AL255" s="15">
        <f>IF(AJ254="",0,VAR(AJ$10:AJ255))</f>
        <v>0</v>
      </c>
      <c r="AN255" s="2"/>
      <c r="AO255" s="15" t="str">
        <f t="shared" si="107"/>
        <v/>
      </c>
      <c r="AP255" s="15">
        <f>IF(AO255="",0,AVERAGE(AO$10:AO255))</f>
        <v>0</v>
      </c>
      <c r="AQ255" s="15">
        <f>IF(AO254="",0,VAR(AO$10:AO255))</f>
        <v>0</v>
      </c>
      <c r="AS255" s="2"/>
      <c r="AT255" s="15" t="str">
        <f t="shared" si="108"/>
        <v/>
      </c>
      <c r="AU255" s="15">
        <f>IF(AT255="",0,AVERAGE(AT$10:AT255))</f>
        <v>0</v>
      </c>
      <c r="AV255" s="15">
        <f>IF(AT254="",0,VAR(AT$10:AT255))</f>
        <v>0</v>
      </c>
      <c r="AX255" s="2"/>
      <c r="AY255" s="15" t="str">
        <f t="shared" si="109"/>
        <v/>
      </c>
      <c r="AZ255" s="15">
        <f>IF(AY255="",0,AVERAGE(AY$10:AY255))</f>
        <v>0</v>
      </c>
      <c r="BA255" s="15">
        <f>IF(AY254="",0,VAR(AY$10:AY255))</f>
        <v>0</v>
      </c>
    </row>
    <row r="256" spans="3:53" x14ac:dyDescent="0.25">
      <c r="C256" s="2"/>
      <c r="E256" s="2"/>
      <c r="F256" s="15" t="str">
        <f t="shared" ref="F256" si="128">IF(E256="","",+(E256-E255)/E255)</f>
        <v/>
      </c>
      <c r="G256" s="15">
        <f>IF(F256="",0,AVERAGE($F$10:F256))</f>
        <v>0</v>
      </c>
      <c r="H256" s="15">
        <f>IF(F255="",0,VAR($F$10:F256))</f>
        <v>0</v>
      </c>
      <c r="J256" s="2"/>
      <c r="K256" s="15" t="str">
        <f t="shared" si="102"/>
        <v/>
      </c>
      <c r="L256" s="15">
        <f>IF(K256="",0,AVERAGE($K$10:K256))</f>
        <v>0</v>
      </c>
      <c r="M256" s="15">
        <f>IF(K255="",0,VAR($K$10:K256))</f>
        <v>0</v>
      </c>
      <c r="O256" s="2"/>
      <c r="P256" s="15" t="str">
        <f t="shared" si="103"/>
        <v/>
      </c>
      <c r="Q256" s="15">
        <f>IF(P256="",0,AVERAGE(P$10:P256))</f>
        <v>0</v>
      </c>
      <c r="R256" s="15">
        <f>IF(P255="",0,VAR(P$10:P256))</f>
        <v>0</v>
      </c>
      <c r="T256" s="2"/>
      <c r="U256" s="15" t="str">
        <f t="shared" si="110"/>
        <v/>
      </c>
      <c r="V256" s="15">
        <f>IF(U256="",0,AVERAGE(U$10:U256))</f>
        <v>0</v>
      </c>
      <c r="W256" s="15">
        <f>IF(U255="",0,VAR(U$10:U256))</f>
        <v>0</v>
      </c>
      <c r="Y256" s="2"/>
      <c r="Z256" s="15" t="str">
        <f t="shared" si="104"/>
        <v/>
      </c>
      <c r="AA256" s="15">
        <f>IF(Z256="",0,AVERAGE(Z$10:Z256))</f>
        <v>0</v>
      </c>
      <c r="AB256" s="15">
        <f>IF(Z255="",0,VAR(Z$10:Z256))</f>
        <v>0</v>
      </c>
      <c r="AD256" s="2"/>
      <c r="AE256" s="15" t="str">
        <f t="shared" si="111"/>
        <v/>
      </c>
      <c r="AF256" s="15">
        <f>IF(AE256="",0,AVERAGE(AE$10:AE256))</f>
        <v>0</v>
      </c>
      <c r="AG256" s="15">
        <f>IF(AE255="",0,VAR(AE$10:AE256))</f>
        <v>0</v>
      </c>
      <c r="AI256" s="2"/>
      <c r="AJ256" s="15" t="str">
        <f t="shared" si="106"/>
        <v/>
      </c>
      <c r="AK256" s="15">
        <f>IF(AJ256="",0,AVERAGE(AJ$10:AJ256))</f>
        <v>0</v>
      </c>
      <c r="AL256" s="15">
        <f>IF(AJ255="",0,VAR(AJ$10:AJ256))</f>
        <v>0</v>
      </c>
      <c r="AN256" s="2"/>
      <c r="AO256" s="15" t="str">
        <f t="shared" si="107"/>
        <v/>
      </c>
      <c r="AP256" s="15">
        <f>IF(AO256="",0,AVERAGE(AO$10:AO256))</f>
        <v>0</v>
      </c>
      <c r="AQ256" s="15">
        <f>IF(AO255="",0,VAR(AO$10:AO256))</f>
        <v>0</v>
      </c>
      <c r="AS256" s="2"/>
      <c r="AT256" s="15" t="str">
        <f t="shared" si="108"/>
        <v/>
      </c>
      <c r="AU256" s="15">
        <f>IF(AT256="",0,AVERAGE(AT$10:AT256))</f>
        <v>0</v>
      </c>
      <c r="AV256" s="15">
        <f>IF(AT255="",0,VAR(AT$10:AT256))</f>
        <v>0</v>
      </c>
      <c r="AX256" s="2"/>
      <c r="AY256" s="15" t="str">
        <f t="shared" si="109"/>
        <v/>
      </c>
      <c r="AZ256" s="15">
        <f>IF(AY256="",0,AVERAGE(AY$10:AY256))</f>
        <v>0</v>
      </c>
      <c r="BA256" s="15">
        <f>IF(AY255="",0,VAR(AY$10:AY256))</f>
        <v>0</v>
      </c>
    </row>
    <row r="257" spans="3:53" x14ac:dyDescent="0.25">
      <c r="C257" s="2"/>
      <c r="E257" s="2"/>
      <c r="F257" s="15" t="str">
        <f t="shared" si="101"/>
        <v/>
      </c>
      <c r="G257" s="15">
        <f>IF(F257="",0,AVERAGE($F$10:F257))</f>
        <v>0</v>
      </c>
      <c r="H257" s="15">
        <f>IF(F256="",0,VAR($F$10:F257))</f>
        <v>0</v>
      </c>
      <c r="J257" s="2"/>
      <c r="K257" s="15" t="str">
        <f t="shared" si="102"/>
        <v/>
      </c>
      <c r="L257" s="15">
        <f>IF(K257="",0,AVERAGE($K$10:K257))</f>
        <v>0</v>
      </c>
      <c r="M257" s="15">
        <f>IF(K256="",0,VAR($K$10:K257))</f>
        <v>0</v>
      </c>
      <c r="O257" s="2"/>
      <c r="P257" s="15" t="str">
        <f t="shared" si="103"/>
        <v/>
      </c>
      <c r="Q257" s="15">
        <f>IF(P257="",0,AVERAGE(P$10:P257))</f>
        <v>0</v>
      </c>
      <c r="R257" s="15">
        <f>IF(P256="",0,VAR(P$10:P257))</f>
        <v>0</v>
      </c>
      <c r="T257" s="2"/>
      <c r="U257" s="15" t="str">
        <f t="shared" si="110"/>
        <v/>
      </c>
      <c r="V257" s="15">
        <f>IF(U257="",0,AVERAGE(U$10:U257))</f>
        <v>0</v>
      </c>
      <c r="W257" s="15">
        <f>IF(U256="",0,VAR(U$10:U257))</f>
        <v>0</v>
      </c>
      <c r="Y257" s="2"/>
      <c r="Z257" s="15" t="str">
        <f t="shared" si="104"/>
        <v/>
      </c>
      <c r="AA257" s="15">
        <f>IF(Z257="",0,AVERAGE(Z$10:Z257))</f>
        <v>0</v>
      </c>
      <c r="AB257" s="15">
        <f>IF(Z256="",0,VAR(Z$10:Z257))</f>
        <v>0</v>
      </c>
      <c r="AD257" s="2"/>
      <c r="AE257" s="15" t="str">
        <f t="shared" si="111"/>
        <v/>
      </c>
      <c r="AF257" s="15">
        <f>IF(AE257="",0,AVERAGE(AE$10:AE257))</f>
        <v>0</v>
      </c>
      <c r="AG257" s="15">
        <f>IF(AE256="",0,VAR(AE$10:AE257))</f>
        <v>0</v>
      </c>
      <c r="AI257" s="2"/>
      <c r="AJ257" s="15" t="str">
        <f t="shared" si="106"/>
        <v/>
      </c>
      <c r="AK257" s="15">
        <f>IF(AJ257="",0,AVERAGE(AJ$10:AJ257))</f>
        <v>0</v>
      </c>
      <c r="AL257" s="15">
        <f>IF(AJ256="",0,VAR(AJ$10:AJ257))</f>
        <v>0</v>
      </c>
      <c r="AN257" s="2"/>
      <c r="AO257" s="15" t="str">
        <f t="shared" si="107"/>
        <v/>
      </c>
      <c r="AP257" s="15">
        <f>IF(AO257="",0,AVERAGE(AO$10:AO257))</f>
        <v>0</v>
      </c>
      <c r="AQ257" s="15">
        <f>IF(AO256="",0,VAR(AO$10:AO257))</f>
        <v>0</v>
      </c>
      <c r="AS257" s="2"/>
      <c r="AT257" s="15" t="str">
        <f t="shared" si="108"/>
        <v/>
      </c>
      <c r="AU257" s="15">
        <f>IF(AT257="",0,AVERAGE(AT$10:AT257))</f>
        <v>0</v>
      </c>
      <c r="AV257" s="15">
        <f>IF(AT256="",0,VAR(AT$10:AT257))</f>
        <v>0</v>
      </c>
      <c r="AX257" s="2"/>
      <c r="AY257" s="15" t="str">
        <f t="shared" si="109"/>
        <v/>
      </c>
      <c r="AZ257" s="15">
        <f>IF(AY257="",0,AVERAGE(AY$10:AY257))</f>
        <v>0</v>
      </c>
      <c r="BA257" s="15">
        <f>IF(AY256="",0,VAR(AY$10:AY257))</f>
        <v>0</v>
      </c>
    </row>
    <row r="258" spans="3:53" x14ac:dyDescent="0.25">
      <c r="C258" s="2"/>
      <c r="E258" s="2"/>
      <c r="F258" s="15"/>
      <c r="G258" s="15">
        <f>IF(F258="",0,AVERAGE($F$10:F258))</f>
        <v>0</v>
      </c>
      <c r="H258" s="15">
        <f>IF(F257="",0,VAR($F$10:F258))</f>
        <v>0</v>
      </c>
      <c r="J258" s="2"/>
      <c r="K258" s="15" t="str">
        <f t="shared" si="102"/>
        <v/>
      </c>
      <c r="L258" s="15">
        <f>IF(K258="",0,AVERAGE($K$10:K258))</f>
        <v>0</v>
      </c>
      <c r="M258" s="15">
        <f>IF(K257="",0,VAR($K$10:K258))</f>
        <v>0</v>
      </c>
      <c r="O258" s="2"/>
      <c r="P258" s="15" t="str">
        <f t="shared" si="103"/>
        <v/>
      </c>
      <c r="Q258" s="15">
        <f>IF(P258="",0,AVERAGE(P$10:P258))</f>
        <v>0</v>
      </c>
      <c r="R258" s="15">
        <f>IF(P257="",0,VAR(P$10:P258))</f>
        <v>0</v>
      </c>
      <c r="T258" s="2"/>
      <c r="U258" s="15" t="str">
        <f t="shared" si="110"/>
        <v/>
      </c>
      <c r="V258" s="15">
        <f>IF(U258="",0,AVERAGE(U$10:U258))</f>
        <v>0</v>
      </c>
      <c r="W258" s="15">
        <f>IF(U257="",0,VAR(U$10:U258))</f>
        <v>0</v>
      </c>
      <c r="Y258" s="2"/>
      <c r="Z258" s="15" t="str">
        <f t="shared" si="104"/>
        <v/>
      </c>
      <c r="AA258" s="15">
        <f>IF(Z258="",0,AVERAGE(Z$10:Z258))</f>
        <v>0</v>
      </c>
      <c r="AB258" s="15">
        <f>IF(Z257="",0,VAR(Z$10:Z258))</f>
        <v>0</v>
      </c>
      <c r="AD258" s="2"/>
      <c r="AE258" s="15" t="str">
        <f t="shared" si="111"/>
        <v/>
      </c>
      <c r="AF258" s="15">
        <f>IF(AE258="",0,AVERAGE(AE$10:AE258))</f>
        <v>0</v>
      </c>
      <c r="AG258" s="15">
        <f>IF(AE257="",0,VAR(AE$10:AE258))</f>
        <v>0</v>
      </c>
      <c r="AI258" s="2"/>
      <c r="AJ258" s="15" t="str">
        <f t="shared" si="106"/>
        <v/>
      </c>
      <c r="AK258" s="15">
        <f>IF(AJ258="",0,AVERAGE(AJ$10:AJ258))</f>
        <v>0</v>
      </c>
      <c r="AL258" s="15">
        <f>IF(AJ257="",0,VAR(AJ$10:AJ258))</f>
        <v>0</v>
      </c>
      <c r="AN258" s="2"/>
      <c r="AO258" s="15" t="str">
        <f t="shared" si="107"/>
        <v/>
      </c>
      <c r="AP258" s="15">
        <f>IF(AO258="",0,AVERAGE(AO$10:AO258))</f>
        <v>0</v>
      </c>
      <c r="AQ258" s="15">
        <f>IF(AO257="",0,VAR(AO$10:AO258))</f>
        <v>0</v>
      </c>
      <c r="AS258" s="2"/>
      <c r="AT258" s="15" t="str">
        <f t="shared" si="108"/>
        <v/>
      </c>
      <c r="AU258" s="15">
        <f>IF(AT258="",0,AVERAGE(AT$10:AT258))</f>
        <v>0</v>
      </c>
      <c r="AV258" s="15">
        <f>IF(AT257="",0,VAR(AT$10:AT258))</f>
        <v>0</v>
      </c>
      <c r="AX258" s="2"/>
      <c r="AY258" s="15" t="str">
        <f t="shared" si="109"/>
        <v/>
      </c>
      <c r="AZ258" s="15">
        <f>IF(AY258="",0,AVERAGE(AY$10:AY258))</f>
        <v>0</v>
      </c>
      <c r="BA258" s="15">
        <f>IF(AY257="",0,VAR(AY$10:AY258))</f>
        <v>0</v>
      </c>
    </row>
    <row r="259" spans="3:53" x14ac:dyDescent="0.25">
      <c r="C259" s="2"/>
      <c r="E259" s="2"/>
      <c r="F259" s="15" t="str">
        <f t="shared" ref="F259" si="129">IF(E259="","",+(E259-E258)/E258)</f>
        <v/>
      </c>
      <c r="G259" s="15">
        <f>IF(F259="",0,AVERAGE($F$10:F259))</f>
        <v>0</v>
      </c>
      <c r="H259" s="15">
        <f>IF(F258="",0,VAR($F$10:F259))</f>
        <v>0</v>
      </c>
      <c r="J259" s="2"/>
      <c r="K259" s="15" t="str">
        <f t="shared" si="102"/>
        <v/>
      </c>
      <c r="L259" s="15">
        <f>IF(K259="",0,AVERAGE($K$10:K259))</f>
        <v>0</v>
      </c>
      <c r="M259" s="15">
        <f>IF(K258="",0,VAR($K$10:K259))</f>
        <v>0</v>
      </c>
      <c r="O259" s="2"/>
      <c r="P259" s="15" t="str">
        <f t="shared" si="103"/>
        <v/>
      </c>
      <c r="Q259" s="15">
        <f>IF(P259="",0,AVERAGE(P$10:P259))</f>
        <v>0</v>
      </c>
      <c r="R259" s="15">
        <f>IF(P258="",0,VAR(P$10:P259))</f>
        <v>0</v>
      </c>
      <c r="T259" s="2"/>
      <c r="U259" s="15" t="str">
        <f t="shared" si="110"/>
        <v/>
      </c>
      <c r="V259" s="15">
        <f>IF(U259="",0,AVERAGE(U$10:U259))</f>
        <v>0</v>
      </c>
      <c r="W259" s="15">
        <f>IF(U258="",0,VAR(U$10:U259))</f>
        <v>0</v>
      </c>
      <c r="Y259" s="2"/>
      <c r="Z259" s="15" t="str">
        <f t="shared" si="104"/>
        <v/>
      </c>
      <c r="AA259" s="15">
        <f>IF(Z259="",0,AVERAGE(Z$10:Z259))</f>
        <v>0</v>
      </c>
      <c r="AB259" s="15">
        <f>IF(Z258="",0,VAR(Z$10:Z259))</f>
        <v>0</v>
      </c>
      <c r="AD259" s="2"/>
      <c r="AE259" s="15" t="str">
        <f t="shared" si="111"/>
        <v/>
      </c>
      <c r="AF259" s="15">
        <f>IF(AE259="",0,AVERAGE(AE$10:AE259))</f>
        <v>0</v>
      </c>
      <c r="AG259" s="15">
        <f>IF(AE258="",0,VAR(AE$10:AE259))</f>
        <v>0</v>
      </c>
      <c r="AI259" s="2"/>
      <c r="AJ259" s="15" t="str">
        <f t="shared" si="106"/>
        <v/>
      </c>
      <c r="AK259" s="15">
        <f>IF(AJ259="",0,AVERAGE(AJ$10:AJ259))</f>
        <v>0</v>
      </c>
      <c r="AL259" s="15">
        <f>IF(AJ258="",0,VAR(AJ$10:AJ259))</f>
        <v>0</v>
      </c>
      <c r="AN259" s="2"/>
      <c r="AO259" s="15" t="str">
        <f t="shared" si="107"/>
        <v/>
      </c>
      <c r="AP259" s="15">
        <f>IF(AO259="",0,AVERAGE(AO$10:AO259))</f>
        <v>0</v>
      </c>
      <c r="AQ259" s="15">
        <f>IF(AO258="",0,VAR(AO$10:AO259))</f>
        <v>0</v>
      </c>
      <c r="AS259" s="2"/>
      <c r="AT259" s="15" t="str">
        <f t="shared" si="108"/>
        <v/>
      </c>
      <c r="AU259" s="15">
        <f>IF(AT259="",0,AVERAGE(AT$10:AT259))</f>
        <v>0</v>
      </c>
      <c r="AV259" s="15">
        <f>IF(AT258="",0,VAR(AT$10:AT259))</f>
        <v>0</v>
      </c>
      <c r="AX259" s="2"/>
      <c r="AY259" s="15" t="str">
        <f t="shared" si="109"/>
        <v/>
      </c>
      <c r="AZ259" s="15">
        <f>IF(AY259="",0,AVERAGE(AY$10:AY259))</f>
        <v>0</v>
      </c>
      <c r="BA259" s="15">
        <f>IF(AY258="",0,VAR(AY$10:AY259))</f>
        <v>0</v>
      </c>
    </row>
    <row r="260" spans="3:53" x14ac:dyDescent="0.25">
      <c r="C260" s="2"/>
      <c r="E260" s="2"/>
      <c r="F260" s="15" t="str">
        <f t="shared" si="101"/>
        <v/>
      </c>
      <c r="G260" s="15">
        <f>IF(F260="",0,AVERAGE($F$10:F260))</f>
        <v>0</v>
      </c>
      <c r="H260" s="15">
        <f>IF(F259="",0,VAR($F$10:F260))</f>
        <v>0</v>
      </c>
      <c r="J260" s="2"/>
      <c r="K260" s="15" t="str">
        <f t="shared" si="102"/>
        <v/>
      </c>
      <c r="L260" s="15">
        <f>IF(K260="",0,AVERAGE($K$10:K260))</f>
        <v>0</v>
      </c>
      <c r="M260" s="15">
        <f>IF(K259="",0,VAR($K$10:K260))</f>
        <v>0</v>
      </c>
      <c r="O260" s="2"/>
      <c r="P260" s="15" t="str">
        <f t="shared" si="103"/>
        <v/>
      </c>
      <c r="Q260" s="15">
        <f>IF(P260="",0,AVERAGE(P$10:P260))</f>
        <v>0</v>
      </c>
      <c r="R260" s="15">
        <f>IF(P259="",0,VAR(P$10:P260))</f>
        <v>0</v>
      </c>
      <c r="T260" s="2"/>
      <c r="U260" s="15" t="str">
        <f t="shared" si="110"/>
        <v/>
      </c>
      <c r="V260" s="15">
        <f>IF(U260="",0,AVERAGE(U$10:U260))</f>
        <v>0</v>
      </c>
      <c r="W260" s="15">
        <f>IF(U259="",0,VAR(U$10:U260))</f>
        <v>0</v>
      </c>
      <c r="Y260" s="2"/>
      <c r="Z260" s="15" t="str">
        <f t="shared" si="104"/>
        <v/>
      </c>
      <c r="AA260" s="15">
        <f>IF(Z260="",0,AVERAGE(Z$10:Z260))</f>
        <v>0</v>
      </c>
      <c r="AB260" s="15">
        <f>IF(Z259="",0,VAR(Z$10:Z260))</f>
        <v>0</v>
      </c>
      <c r="AD260" s="2"/>
      <c r="AE260" s="15" t="str">
        <f t="shared" si="111"/>
        <v/>
      </c>
      <c r="AF260" s="15">
        <f>IF(AE260="",0,AVERAGE(AE$10:AE260))</f>
        <v>0</v>
      </c>
      <c r="AG260" s="15">
        <f>IF(AE259="",0,VAR(AE$10:AE260))</f>
        <v>0</v>
      </c>
      <c r="AI260" s="2"/>
      <c r="AJ260" s="15" t="str">
        <f t="shared" si="106"/>
        <v/>
      </c>
      <c r="AK260" s="15">
        <f>IF(AJ260="",0,AVERAGE(AJ$10:AJ260))</f>
        <v>0</v>
      </c>
      <c r="AL260" s="15">
        <f>IF(AJ259="",0,VAR(AJ$10:AJ260))</f>
        <v>0</v>
      </c>
      <c r="AN260" s="2"/>
      <c r="AO260" s="15" t="str">
        <f t="shared" si="107"/>
        <v/>
      </c>
      <c r="AP260" s="15">
        <f>IF(AO260="",0,AVERAGE(AO$10:AO260))</f>
        <v>0</v>
      </c>
      <c r="AQ260" s="15">
        <f>IF(AO259="",0,VAR(AO$10:AO260))</f>
        <v>0</v>
      </c>
      <c r="AS260" s="2"/>
      <c r="AT260" s="15" t="str">
        <f t="shared" si="108"/>
        <v/>
      </c>
      <c r="AU260" s="15">
        <f>IF(AT260="",0,AVERAGE(AT$10:AT260))</f>
        <v>0</v>
      </c>
      <c r="AV260" s="15">
        <f>IF(AT259="",0,VAR(AT$10:AT260))</f>
        <v>0</v>
      </c>
      <c r="AX260" s="2"/>
      <c r="AY260" s="15" t="str">
        <f t="shared" si="109"/>
        <v/>
      </c>
      <c r="AZ260" s="15">
        <f>IF(AY260="",0,AVERAGE(AY$10:AY260))</f>
        <v>0</v>
      </c>
      <c r="BA260" s="15">
        <f>IF(AY259="",0,VAR(AY$10:AY260))</f>
        <v>0</v>
      </c>
    </row>
    <row r="261" spans="3:53" x14ac:dyDescent="0.25">
      <c r="C261" s="2"/>
      <c r="E261" s="2"/>
      <c r="F261" s="15"/>
      <c r="G261" s="15">
        <f>IF(F261="",0,AVERAGE($F$10:F261))</f>
        <v>0</v>
      </c>
      <c r="H261" s="15">
        <f>IF(F260="",0,VAR($F$10:F261))</f>
        <v>0</v>
      </c>
      <c r="J261" s="2"/>
      <c r="K261" s="15" t="str">
        <f t="shared" si="102"/>
        <v/>
      </c>
      <c r="L261" s="15">
        <f>IF(K261="",0,AVERAGE($K$10:K261))</f>
        <v>0</v>
      </c>
      <c r="M261" s="15">
        <f>IF(K260="",0,VAR($K$10:K261))</f>
        <v>0</v>
      </c>
      <c r="O261" s="2"/>
      <c r="P261" s="15" t="str">
        <f t="shared" si="103"/>
        <v/>
      </c>
      <c r="Q261" s="15">
        <f>IF(P261="",0,AVERAGE(P$10:P261))</f>
        <v>0</v>
      </c>
      <c r="R261" s="15">
        <f>IF(P260="",0,VAR(P$10:P261))</f>
        <v>0</v>
      </c>
      <c r="T261" s="2"/>
      <c r="U261" s="15" t="str">
        <f t="shared" si="110"/>
        <v/>
      </c>
      <c r="V261" s="15">
        <f>IF(U261="",0,AVERAGE(U$10:U261))</f>
        <v>0</v>
      </c>
      <c r="W261" s="15">
        <f>IF(U260="",0,VAR(U$10:U261))</f>
        <v>0</v>
      </c>
      <c r="Y261" s="2"/>
      <c r="Z261" s="15" t="str">
        <f t="shared" si="104"/>
        <v/>
      </c>
      <c r="AA261" s="15">
        <f>IF(Z261="",0,AVERAGE(Z$10:Z261))</f>
        <v>0</v>
      </c>
      <c r="AB261" s="15">
        <f>IF(Z260="",0,VAR(Z$10:Z261))</f>
        <v>0</v>
      </c>
      <c r="AD261" s="2"/>
      <c r="AE261" s="15" t="str">
        <f t="shared" si="111"/>
        <v/>
      </c>
      <c r="AF261" s="15">
        <f>IF(AE261="",0,AVERAGE(AE$10:AE261))</f>
        <v>0</v>
      </c>
      <c r="AG261" s="15">
        <f>IF(AE260="",0,VAR(AE$10:AE261))</f>
        <v>0</v>
      </c>
      <c r="AI261" s="2"/>
      <c r="AJ261" s="15" t="str">
        <f t="shared" si="106"/>
        <v/>
      </c>
      <c r="AK261" s="15">
        <f>IF(AJ261="",0,AVERAGE(AJ$10:AJ261))</f>
        <v>0</v>
      </c>
      <c r="AL261" s="15">
        <f>IF(AJ260="",0,VAR(AJ$10:AJ261))</f>
        <v>0</v>
      </c>
      <c r="AN261" s="2"/>
      <c r="AO261" s="15" t="str">
        <f t="shared" si="107"/>
        <v/>
      </c>
      <c r="AP261" s="15">
        <f>IF(AO261="",0,AVERAGE(AO$10:AO261))</f>
        <v>0</v>
      </c>
      <c r="AQ261" s="15">
        <f>IF(AO260="",0,VAR(AO$10:AO261))</f>
        <v>0</v>
      </c>
      <c r="AS261" s="2"/>
      <c r="AT261" s="15" t="str">
        <f t="shared" si="108"/>
        <v/>
      </c>
      <c r="AU261" s="15">
        <f>IF(AT261="",0,AVERAGE(AT$10:AT261))</f>
        <v>0</v>
      </c>
      <c r="AV261" s="15">
        <f>IF(AT260="",0,VAR(AT$10:AT261))</f>
        <v>0</v>
      </c>
      <c r="AX261" s="2"/>
      <c r="AY261" s="15" t="str">
        <f t="shared" si="109"/>
        <v/>
      </c>
      <c r="AZ261" s="15">
        <f>IF(AY261="",0,AVERAGE(AY$10:AY261))</f>
        <v>0</v>
      </c>
      <c r="BA261" s="15">
        <f>IF(AY260="",0,VAR(AY$10:AY261))</f>
        <v>0</v>
      </c>
    </row>
    <row r="262" spans="3:53" x14ac:dyDescent="0.25">
      <c r="C262" s="2"/>
      <c r="E262" s="2"/>
      <c r="F262" s="15" t="str">
        <f t="shared" ref="F262" si="130">IF(E262="","",+(E262-E261)/E261)</f>
        <v/>
      </c>
      <c r="G262" s="15">
        <f>IF(F262="",0,AVERAGE($F$10:F262))</f>
        <v>0</v>
      </c>
      <c r="H262" s="15">
        <f>IF(F261="",0,VAR($F$10:F262))</f>
        <v>0</v>
      </c>
      <c r="J262" s="2"/>
      <c r="K262" s="15" t="str">
        <f t="shared" si="102"/>
        <v/>
      </c>
      <c r="L262" s="15">
        <f>IF(K262="",0,AVERAGE($K$10:K262))</f>
        <v>0</v>
      </c>
      <c r="M262" s="15">
        <f>IF(K261="",0,VAR($K$10:K262))</f>
        <v>0</v>
      </c>
      <c r="O262" s="2"/>
      <c r="P262" s="15" t="str">
        <f t="shared" si="103"/>
        <v/>
      </c>
      <c r="Q262" s="15">
        <f>IF(P262="",0,AVERAGE(P$10:P262))</f>
        <v>0</v>
      </c>
      <c r="R262" s="15">
        <f>IF(P261="",0,VAR(P$10:P262))</f>
        <v>0</v>
      </c>
      <c r="T262" s="2"/>
      <c r="U262" s="15" t="str">
        <f t="shared" si="110"/>
        <v/>
      </c>
      <c r="V262" s="15">
        <f>IF(U262="",0,AVERAGE(U$10:U262))</f>
        <v>0</v>
      </c>
      <c r="W262" s="15">
        <f>IF(U261="",0,VAR(U$10:U262))</f>
        <v>0</v>
      </c>
      <c r="Y262" s="2"/>
      <c r="Z262" s="15" t="str">
        <f t="shared" si="104"/>
        <v/>
      </c>
      <c r="AA262" s="15">
        <f>IF(Z262="",0,AVERAGE(Z$10:Z262))</f>
        <v>0</v>
      </c>
      <c r="AB262" s="15">
        <f>IF(Z261="",0,VAR(Z$10:Z262))</f>
        <v>0</v>
      </c>
      <c r="AD262" s="2"/>
      <c r="AE262" s="15" t="str">
        <f t="shared" si="111"/>
        <v/>
      </c>
      <c r="AF262" s="15">
        <f>IF(AE262="",0,AVERAGE(AE$10:AE262))</f>
        <v>0</v>
      </c>
      <c r="AG262" s="15">
        <f>IF(AE261="",0,VAR(AE$10:AE262))</f>
        <v>0</v>
      </c>
      <c r="AI262" s="2"/>
      <c r="AJ262" s="15" t="str">
        <f t="shared" si="106"/>
        <v/>
      </c>
      <c r="AK262" s="15">
        <f>IF(AJ262="",0,AVERAGE(AJ$10:AJ262))</f>
        <v>0</v>
      </c>
      <c r="AL262" s="15">
        <f>IF(AJ261="",0,VAR(AJ$10:AJ262))</f>
        <v>0</v>
      </c>
      <c r="AN262" s="2"/>
      <c r="AO262" s="15" t="str">
        <f t="shared" si="107"/>
        <v/>
      </c>
      <c r="AP262" s="15">
        <f>IF(AO262="",0,AVERAGE(AO$10:AO262))</f>
        <v>0</v>
      </c>
      <c r="AQ262" s="15">
        <f>IF(AO261="",0,VAR(AO$10:AO262))</f>
        <v>0</v>
      </c>
      <c r="AS262" s="2"/>
      <c r="AT262" s="15" t="str">
        <f t="shared" si="108"/>
        <v/>
      </c>
      <c r="AU262" s="15">
        <f>IF(AT262="",0,AVERAGE(AT$10:AT262))</f>
        <v>0</v>
      </c>
      <c r="AV262" s="15">
        <f>IF(AT261="",0,VAR(AT$10:AT262))</f>
        <v>0</v>
      </c>
      <c r="AX262" s="2"/>
      <c r="AY262" s="15" t="str">
        <f t="shared" si="109"/>
        <v/>
      </c>
      <c r="AZ262" s="15">
        <f>IF(AY262="",0,AVERAGE(AY$10:AY262))</f>
        <v>0</v>
      </c>
      <c r="BA262" s="15">
        <f>IF(AY261="",0,VAR(AY$10:AY262))</f>
        <v>0</v>
      </c>
    </row>
    <row r="263" spans="3:53" x14ac:dyDescent="0.25">
      <c r="C263" s="2"/>
      <c r="E263" s="2"/>
      <c r="F263" s="15" t="str">
        <f t="shared" si="101"/>
        <v/>
      </c>
      <c r="G263" s="15">
        <f>IF(F263="",0,AVERAGE($F$10:F263))</f>
        <v>0</v>
      </c>
      <c r="H263" s="15">
        <f>IF(F262="",0,VAR($F$10:F263))</f>
        <v>0</v>
      </c>
      <c r="J263" s="2"/>
      <c r="K263" s="15" t="str">
        <f t="shared" si="102"/>
        <v/>
      </c>
      <c r="L263" s="15">
        <f>IF(K263="",0,AVERAGE($K$10:K263))</f>
        <v>0</v>
      </c>
      <c r="M263" s="15">
        <f>IF(K262="",0,VAR($K$10:K263))</f>
        <v>0</v>
      </c>
      <c r="O263" s="2"/>
      <c r="P263" s="15" t="str">
        <f t="shared" si="103"/>
        <v/>
      </c>
      <c r="Q263" s="15">
        <f>IF(P263="",0,AVERAGE(P$10:P263))</f>
        <v>0</v>
      </c>
      <c r="R263" s="15">
        <f>IF(P262="",0,VAR(P$10:P263))</f>
        <v>0</v>
      </c>
      <c r="T263" s="2"/>
      <c r="U263" s="15" t="str">
        <f t="shared" si="110"/>
        <v/>
      </c>
      <c r="V263" s="15">
        <f>IF(U263="",0,AVERAGE(U$10:U263))</f>
        <v>0</v>
      </c>
      <c r="W263" s="15">
        <f>IF(U262="",0,VAR(U$10:U263))</f>
        <v>0</v>
      </c>
      <c r="Y263" s="2"/>
      <c r="Z263" s="15" t="str">
        <f t="shared" si="104"/>
        <v/>
      </c>
      <c r="AA263" s="15">
        <f>IF(Z263="",0,AVERAGE(Z$10:Z263))</f>
        <v>0</v>
      </c>
      <c r="AB263" s="15">
        <f>IF(Z262="",0,VAR(Z$10:Z263))</f>
        <v>0</v>
      </c>
      <c r="AD263" s="2"/>
      <c r="AE263" s="15" t="str">
        <f t="shared" si="111"/>
        <v/>
      </c>
      <c r="AF263" s="15">
        <f>IF(AE263="",0,AVERAGE(AE$10:AE263))</f>
        <v>0</v>
      </c>
      <c r="AG263" s="15">
        <f>IF(AE262="",0,VAR(AE$10:AE263))</f>
        <v>0</v>
      </c>
      <c r="AI263" s="2"/>
      <c r="AJ263" s="15" t="str">
        <f t="shared" si="106"/>
        <v/>
      </c>
      <c r="AK263" s="15">
        <f>IF(AJ263="",0,AVERAGE(AJ$10:AJ263))</f>
        <v>0</v>
      </c>
      <c r="AL263" s="15">
        <f>IF(AJ262="",0,VAR(AJ$10:AJ263))</f>
        <v>0</v>
      </c>
      <c r="AN263" s="2"/>
      <c r="AO263" s="15" t="str">
        <f t="shared" si="107"/>
        <v/>
      </c>
      <c r="AP263" s="15">
        <f>IF(AO263="",0,AVERAGE(AO$10:AO263))</f>
        <v>0</v>
      </c>
      <c r="AQ263" s="15">
        <f>IF(AO262="",0,VAR(AO$10:AO263))</f>
        <v>0</v>
      </c>
      <c r="AS263" s="2"/>
      <c r="AT263" s="15" t="str">
        <f t="shared" si="108"/>
        <v/>
      </c>
      <c r="AU263" s="15">
        <f>IF(AT263="",0,AVERAGE(AT$10:AT263))</f>
        <v>0</v>
      </c>
      <c r="AV263" s="15">
        <f>IF(AT262="",0,VAR(AT$10:AT263))</f>
        <v>0</v>
      </c>
      <c r="AX263" s="2"/>
      <c r="AY263" s="15" t="str">
        <f t="shared" si="109"/>
        <v/>
      </c>
      <c r="AZ263" s="15">
        <f>IF(AY263="",0,AVERAGE(AY$10:AY263))</f>
        <v>0</v>
      </c>
      <c r="BA263" s="15">
        <f>IF(AY262="",0,VAR(AY$10:AY263))</f>
        <v>0</v>
      </c>
    </row>
    <row r="264" spans="3:53" x14ac:dyDescent="0.25">
      <c r="C264" s="2"/>
      <c r="E264" s="2"/>
      <c r="F264" s="15"/>
      <c r="G264" s="15">
        <f>IF(F264="",0,AVERAGE($F$10:F264))</f>
        <v>0</v>
      </c>
      <c r="H264" s="15">
        <f>IF(F263="",0,VAR($F$10:F264))</f>
        <v>0</v>
      </c>
      <c r="J264" s="2"/>
      <c r="K264" s="15" t="str">
        <f t="shared" si="102"/>
        <v/>
      </c>
      <c r="L264" s="15">
        <f>IF(K264="",0,AVERAGE($K$10:K264))</f>
        <v>0</v>
      </c>
      <c r="M264" s="15">
        <f>IF(K263="",0,VAR($K$10:K264))</f>
        <v>0</v>
      </c>
      <c r="O264" s="2"/>
      <c r="P264" s="15" t="str">
        <f t="shared" si="103"/>
        <v/>
      </c>
      <c r="Q264" s="15">
        <f>IF(P264="",0,AVERAGE(P$10:P264))</f>
        <v>0</v>
      </c>
      <c r="R264" s="15">
        <f>IF(P263="",0,VAR(P$10:P264))</f>
        <v>0</v>
      </c>
      <c r="T264" s="2"/>
      <c r="U264" s="15" t="str">
        <f t="shared" si="110"/>
        <v/>
      </c>
      <c r="V264" s="15">
        <f>IF(U264="",0,AVERAGE(U$10:U264))</f>
        <v>0</v>
      </c>
      <c r="W264" s="15">
        <f>IF(U263="",0,VAR(U$10:U264))</f>
        <v>0</v>
      </c>
      <c r="Y264" s="2"/>
      <c r="Z264" s="15" t="str">
        <f t="shared" si="104"/>
        <v/>
      </c>
      <c r="AA264" s="15">
        <f>IF(Z264="",0,AVERAGE(Z$10:Z264))</f>
        <v>0</v>
      </c>
      <c r="AB264" s="15">
        <f>IF(Z263="",0,VAR(Z$10:Z264))</f>
        <v>0</v>
      </c>
      <c r="AD264" s="2"/>
      <c r="AE264" s="15" t="str">
        <f t="shared" si="111"/>
        <v/>
      </c>
      <c r="AF264" s="15">
        <f>IF(AE264="",0,AVERAGE(AE$10:AE264))</f>
        <v>0</v>
      </c>
      <c r="AG264" s="15">
        <f>IF(AE263="",0,VAR(AE$10:AE264))</f>
        <v>0</v>
      </c>
      <c r="AI264" s="2"/>
      <c r="AJ264" s="15" t="str">
        <f t="shared" si="106"/>
        <v/>
      </c>
      <c r="AK264" s="15">
        <f>IF(AJ264="",0,AVERAGE(AJ$10:AJ264))</f>
        <v>0</v>
      </c>
      <c r="AL264" s="15">
        <f>IF(AJ263="",0,VAR(AJ$10:AJ264))</f>
        <v>0</v>
      </c>
      <c r="AN264" s="2"/>
      <c r="AO264" s="15" t="str">
        <f t="shared" si="107"/>
        <v/>
      </c>
      <c r="AP264" s="15">
        <f>IF(AO264="",0,AVERAGE(AO$10:AO264))</f>
        <v>0</v>
      </c>
      <c r="AQ264" s="15">
        <f>IF(AO263="",0,VAR(AO$10:AO264))</f>
        <v>0</v>
      </c>
      <c r="AS264" s="2"/>
      <c r="AT264" s="15" t="str">
        <f t="shared" si="108"/>
        <v/>
      </c>
      <c r="AU264" s="15">
        <f>IF(AT264="",0,AVERAGE(AT$10:AT264))</f>
        <v>0</v>
      </c>
      <c r="AV264" s="15">
        <f>IF(AT263="",0,VAR(AT$10:AT264))</f>
        <v>0</v>
      </c>
      <c r="AX264" s="2"/>
      <c r="AY264" s="15" t="str">
        <f t="shared" si="109"/>
        <v/>
      </c>
      <c r="AZ264" s="15">
        <f>IF(AY264="",0,AVERAGE(AY$10:AY264))</f>
        <v>0</v>
      </c>
      <c r="BA264" s="15">
        <f>IF(AY263="",0,VAR(AY$10:AY264))</f>
        <v>0</v>
      </c>
    </row>
    <row r="265" spans="3:53" x14ac:dyDescent="0.25">
      <c r="C265" s="2"/>
      <c r="E265" s="2"/>
      <c r="F265" s="15" t="str">
        <f t="shared" ref="F265:F302" si="131">IF(E265="","",+(E265-E264)/E264)</f>
        <v/>
      </c>
      <c r="G265" s="15">
        <f>IF(F265="",0,AVERAGE($F$10:F265))</f>
        <v>0</v>
      </c>
      <c r="H265" s="15">
        <f>IF(F264="",0,VAR($F$10:F265))</f>
        <v>0</v>
      </c>
      <c r="J265" s="2"/>
      <c r="K265" s="15" t="str">
        <f t="shared" si="102"/>
        <v/>
      </c>
      <c r="L265" s="15">
        <f>IF(K265="",0,AVERAGE($K$10:K265))</f>
        <v>0</v>
      </c>
      <c r="M265" s="15">
        <f>IF(K264="",0,VAR($K$10:K265))</f>
        <v>0</v>
      </c>
      <c r="O265" s="2"/>
      <c r="P265" s="15" t="str">
        <f t="shared" si="103"/>
        <v/>
      </c>
      <c r="Q265" s="15">
        <f>IF(P265="",0,AVERAGE(P$10:P265))</f>
        <v>0</v>
      </c>
      <c r="R265" s="15">
        <f>IF(P264="",0,VAR(P$10:P265))</f>
        <v>0</v>
      </c>
      <c r="T265" s="2"/>
      <c r="U265" s="15" t="str">
        <f t="shared" si="110"/>
        <v/>
      </c>
      <c r="V265" s="15">
        <f>IF(U265="",0,AVERAGE(U$10:U265))</f>
        <v>0</v>
      </c>
      <c r="W265" s="15">
        <f>IF(U264="",0,VAR(U$10:U265))</f>
        <v>0</v>
      </c>
      <c r="Y265" s="2"/>
      <c r="Z265" s="15" t="str">
        <f t="shared" si="104"/>
        <v/>
      </c>
      <c r="AA265" s="15">
        <f>IF(Z265="",0,AVERAGE(Z$10:Z265))</f>
        <v>0</v>
      </c>
      <c r="AB265" s="15">
        <f>IF(Z264="",0,VAR(Z$10:Z265))</f>
        <v>0</v>
      </c>
      <c r="AD265" s="2"/>
      <c r="AE265" s="15" t="str">
        <f t="shared" si="111"/>
        <v/>
      </c>
      <c r="AF265" s="15">
        <f>IF(AE265="",0,AVERAGE(AE$10:AE265))</f>
        <v>0</v>
      </c>
      <c r="AG265" s="15">
        <f>IF(AE264="",0,VAR(AE$10:AE265))</f>
        <v>0</v>
      </c>
      <c r="AI265" s="2"/>
      <c r="AJ265" s="15" t="str">
        <f t="shared" si="106"/>
        <v/>
      </c>
      <c r="AK265" s="15">
        <f>IF(AJ265="",0,AVERAGE(AJ$10:AJ265))</f>
        <v>0</v>
      </c>
      <c r="AL265" s="15">
        <f>IF(AJ264="",0,VAR(AJ$10:AJ265))</f>
        <v>0</v>
      </c>
      <c r="AN265" s="2"/>
      <c r="AO265" s="15" t="str">
        <f t="shared" si="107"/>
        <v/>
      </c>
      <c r="AP265" s="15">
        <f>IF(AO265="",0,AVERAGE(AO$10:AO265))</f>
        <v>0</v>
      </c>
      <c r="AQ265" s="15">
        <f>IF(AO264="",0,VAR(AO$10:AO265))</f>
        <v>0</v>
      </c>
      <c r="AS265" s="2"/>
      <c r="AT265" s="15" t="str">
        <f t="shared" si="108"/>
        <v/>
      </c>
      <c r="AU265" s="15">
        <f>IF(AT265="",0,AVERAGE(AT$10:AT265))</f>
        <v>0</v>
      </c>
      <c r="AV265" s="15">
        <f>IF(AT264="",0,VAR(AT$10:AT265))</f>
        <v>0</v>
      </c>
      <c r="AX265" s="2"/>
      <c r="AY265" s="15" t="str">
        <f t="shared" si="109"/>
        <v/>
      </c>
      <c r="AZ265" s="15">
        <f>IF(AY265="",0,AVERAGE(AY$10:AY265))</f>
        <v>0</v>
      </c>
      <c r="BA265" s="15">
        <f>IF(AY264="",0,VAR(AY$10:AY265))</f>
        <v>0</v>
      </c>
    </row>
    <row r="266" spans="3:53" x14ac:dyDescent="0.25">
      <c r="C266" s="2"/>
      <c r="E266" s="2"/>
      <c r="F266" s="15" t="str">
        <f t="shared" si="131"/>
        <v/>
      </c>
      <c r="G266" s="15">
        <f>IF(F266="",0,AVERAGE($F$10:F266))</f>
        <v>0</v>
      </c>
      <c r="H266" s="15">
        <f>IF(F265="",0,VAR($F$10:F266))</f>
        <v>0</v>
      </c>
      <c r="J266" s="2"/>
      <c r="K266" s="15" t="str">
        <f t="shared" si="102"/>
        <v/>
      </c>
      <c r="L266" s="15">
        <f>IF(K266="",0,AVERAGE($K$10:K266))</f>
        <v>0</v>
      </c>
      <c r="M266" s="15">
        <f>IF(K265="",0,VAR($K$10:K266))</f>
        <v>0</v>
      </c>
      <c r="O266" s="2"/>
      <c r="P266" s="15" t="str">
        <f t="shared" si="103"/>
        <v/>
      </c>
      <c r="Q266" s="15">
        <f>IF(P266="",0,AVERAGE(P$10:P266))</f>
        <v>0</v>
      </c>
      <c r="R266" s="15">
        <f>IF(P265="",0,VAR(P$10:P266))</f>
        <v>0</v>
      </c>
      <c r="T266" s="2"/>
      <c r="U266" s="15" t="str">
        <f t="shared" si="110"/>
        <v/>
      </c>
      <c r="V266" s="15">
        <f>IF(U266="",0,AVERAGE(U$10:U266))</f>
        <v>0</v>
      </c>
      <c r="W266" s="15">
        <f>IF(U265="",0,VAR(U$10:U266))</f>
        <v>0</v>
      </c>
      <c r="Y266" s="2"/>
      <c r="Z266" s="15" t="str">
        <f t="shared" si="104"/>
        <v/>
      </c>
      <c r="AA266" s="15">
        <f>IF(Z266="",0,AVERAGE(Z$10:Z266))</f>
        <v>0</v>
      </c>
      <c r="AB266" s="15">
        <f>IF(Z265="",0,VAR(Z$10:Z266))</f>
        <v>0</v>
      </c>
      <c r="AD266" s="2"/>
      <c r="AE266" s="15" t="str">
        <f t="shared" si="111"/>
        <v/>
      </c>
      <c r="AF266" s="15">
        <f>IF(AE266="",0,AVERAGE(AE$10:AE266))</f>
        <v>0</v>
      </c>
      <c r="AG266" s="15">
        <f>IF(AE265="",0,VAR(AE$10:AE266))</f>
        <v>0</v>
      </c>
      <c r="AI266" s="2"/>
      <c r="AJ266" s="15" t="str">
        <f t="shared" si="106"/>
        <v/>
      </c>
      <c r="AK266" s="15">
        <f>IF(AJ266="",0,AVERAGE(AJ$10:AJ266))</f>
        <v>0</v>
      </c>
      <c r="AL266" s="15">
        <f>IF(AJ265="",0,VAR(AJ$10:AJ266))</f>
        <v>0</v>
      </c>
      <c r="AN266" s="2"/>
      <c r="AO266" s="15" t="str">
        <f t="shared" si="107"/>
        <v/>
      </c>
      <c r="AP266" s="15">
        <f>IF(AO266="",0,AVERAGE(AO$10:AO266))</f>
        <v>0</v>
      </c>
      <c r="AQ266" s="15">
        <f>IF(AO265="",0,VAR(AO$10:AO266))</f>
        <v>0</v>
      </c>
      <c r="AS266" s="2"/>
      <c r="AT266" s="15" t="str">
        <f t="shared" si="108"/>
        <v/>
      </c>
      <c r="AU266" s="15">
        <f>IF(AT266="",0,AVERAGE(AT$10:AT266))</f>
        <v>0</v>
      </c>
      <c r="AV266" s="15">
        <f>IF(AT265="",0,VAR(AT$10:AT266))</f>
        <v>0</v>
      </c>
      <c r="AX266" s="2"/>
      <c r="AY266" s="15" t="str">
        <f t="shared" si="109"/>
        <v/>
      </c>
      <c r="AZ266" s="15">
        <f>IF(AY266="",0,AVERAGE(AY$10:AY266))</f>
        <v>0</v>
      </c>
      <c r="BA266" s="15">
        <f>IF(AY265="",0,VAR(AY$10:AY266))</f>
        <v>0</v>
      </c>
    </row>
    <row r="267" spans="3:53" x14ac:dyDescent="0.25">
      <c r="C267" s="2"/>
      <c r="E267" s="2"/>
      <c r="F267" s="15"/>
      <c r="G267" s="15">
        <f>IF(F267="",0,AVERAGE($F$10:F267))</f>
        <v>0</v>
      </c>
      <c r="H267" s="15">
        <f>IF(F266="",0,VAR($F$10:F267))</f>
        <v>0</v>
      </c>
      <c r="J267" s="2"/>
      <c r="K267" s="15" t="str">
        <f t="shared" si="102"/>
        <v/>
      </c>
      <c r="L267" s="15">
        <f>IF(K267="",0,AVERAGE($K$10:K267))</f>
        <v>0</v>
      </c>
      <c r="M267" s="15">
        <f>IF(K266="",0,VAR($K$10:K267))</f>
        <v>0</v>
      </c>
      <c r="O267" s="2"/>
      <c r="P267" s="15" t="str">
        <f t="shared" si="103"/>
        <v/>
      </c>
      <c r="Q267" s="15">
        <f>IF(P267="",0,AVERAGE(P$10:P267))</f>
        <v>0</v>
      </c>
      <c r="R267" s="15">
        <f>IF(P266="",0,VAR(P$10:P267))</f>
        <v>0</v>
      </c>
      <c r="T267" s="2"/>
      <c r="U267" s="15" t="str">
        <f t="shared" si="110"/>
        <v/>
      </c>
      <c r="V267" s="15">
        <f>IF(U267="",0,AVERAGE(U$10:U267))</f>
        <v>0</v>
      </c>
      <c r="W267" s="15">
        <f>IF(U266="",0,VAR(U$10:U267))</f>
        <v>0</v>
      </c>
      <c r="Y267" s="2"/>
      <c r="Z267" s="15" t="str">
        <f t="shared" si="104"/>
        <v/>
      </c>
      <c r="AA267" s="15">
        <f>IF(Z267="",0,AVERAGE(Z$10:Z267))</f>
        <v>0</v>
      </c>
      <c r="AB267" s="15">
        <f>IF(Z266="",0,VAR(Z$10:Z267))</f>
        <v>0</v>
      </c>
      <c r="AD267" s="2"/>
      <c r="AE267" s="15" t="str">
        <f t="shared" si="111"/>
        <v/>
      </c>
      <c r="AF267" s="15">
        <f>IF(AE267="",0,AVERAGE(AE$10:AE267))</f>
        <v>0</v>
      </c>
      <c r="AG267" s="15">
        <f>IF(AE266="",0,VAR(AE$10:AE267))</f>
        <v>0</v>
      </c>
      <c r="AI267" s="2"/>
      <c r="AJ267" s="15" t="str">
        <f t="shared" si="106"/>
        <v/>
      </c>
      <c r="AK267" s="15">
        <f>IF(AJ267="",0,AVERAGE(AJ$10:AJ267))</f>
        <v>0</v>
      </c>
      <c r="AL267" s="15">
        <f>IF(AJ266="",0,VAR(AJ$10:AJ267))</f>
        <v>0</v>
      </c>
      <c r="AN267" s="2"/>
      <c r="AO267" s="15" t="str">
        <f t="shared" si="107"/>
        <v/>
      </c>
      <c r="AP267" s="15">
        <f>IF(AO267="",0,AVERAGE(AO$10:AO267))</f>
        <v>0</v>
      </c>
      <c r="AQ267" s="15">
        <f>IF(AO266="",0,VAR(AO$10:AO267))</f>
        <v>0</v>
      </c>
      <c r="AS267" s="2"/>
      <c r="AT267" s="15" t="str">
        <f t="shared" si="108"/>
        <v/>
      </c>
      <c r="AU267" s="15">
        <f>IF(AT267="",0,AVERAGE(AT$10:AT267))</f>
        <v>0</v>
      </c>
      <c r="AV267" s="15">
        <f>IF(AT266="",0,VAR(AT$10:AT267))</f>
        <v>0</v>
      </c>
      <c r="AX267" s="2"/>
      <c r="AY267" s="15" t="str">
        <f t="shared" si="109"/>
        <v/>
      </c>
      <c r="AZ267" s="15">
        <f>IF(AY267="",0,AVERAGE(AY$10:AY267))</f>
        <v>0</v>
      </c>
      <c r="BA267" s="15">
        <f>IF(AY266="",0,VAR(AY$10:AY267))</f>
        <v>0</v>
      </c>
    </row>
    <row r="268" spans="3:53" x14ac:dyDescent="0.25">
      <c r="C268" s="2"/>
      <c r="E268" s="2"/>
      <c r="F268" s="15" t="str">
        <f t="shared" ref="F268" si="132">IF(E268="","",+(E268-E267)/E267)</f>
        <v/>
      </c>
      <c r="G268" s="15">
        <f>IF(F268="",0,AVERAGE($F$10:F268))</f>
        <v>0</v>
      </c>
      <c r="H268" s="15">
        <f>IF(F267="",0,VAR($F$10:F268))</f>
        <v>0</v>
      </c>
      <c r="J268" s="2"/>
      <c r="K268" s="15" t="str">
        <f t="shared" ref="K268:K304" si="133">IF(J268="","",+(J268-J267)/J267)</f>
        <v/>
      </c>
      <c r="L268" s="15">
        <f>IF(K268="",0,AVERAGE($K$10:K268))</f>
        <v>0</v>
      </c>
      <c r="M268" s="15">
        <f>IF(K267="",0,VAR($K$10:K268))</f>
        <v>0</v>
      </c>
      <c r="O268" s="2"/>
      <c r="P268" s="15" t="str">
        <f t="shared" ref="P268:P304" si="134">IF(O268="","",+(O268-O267)/O267)</f>
        <v/>
      </c>
      <c r="Q268" s="15">
        <f>IF(P268="",0,AVERAGE(P$10:P268))</f>
        <v>0</v>
      </c>
      <c r="R268" s="15">
        <f>IF(P267="",0,VAR(P$10:P268))</f>
        <v>0</v>
      </c>
      <c r="T268" s="2"/>
      <c r="U268" s="15" t="str">
        <f t="shared" si="110"/>
        <v/>
      </c>
      <c r="V268" s="15">
        <f>IF(U268="",0,AVERAGE(U$10:U268))</f>
        <v>0</v>
      </c>
      <c r="W268" s="15">
        <f>IF(U267="",0,VAR(U$10:U268))</f>
        <v>0</v>
      </c>
      <c r="Y268" s="2"/>
      <c r="Z268" s="15" t="str">
        <f t="shared" ref="Z268:Z304" si="135">IF(Y268="","",+(Y268-Y267)/Y267)</f>
        <v/>
      </c>
      <c r="AA268" s="15">
        <f>IF(Z268="",0,AVERAGE(Z$10:Z268))</f>
        <v>0</v>
      </c>
      <c r="AB268" s="15">
        <f>IF(Z267="",0,VAR(Z$10:Z268))</f>
        <v>0</v>
      </c>
      <c r="AD268" s="2"/>
      <c r="AE268" s="15" t="str">
        <f t="shared" si="111"/>
        <v/>
      </c>
      <c r="AF268" s="15">
        <f>IF(AE268="",0,AVERAGE(AE$10:AE268))</f>
        <v>0</v>
      </c>
      <c r="AG268" s="15">
        <f>IF(AE267="",0,VAR(AE$10:AE268))</f>
        <v>0</v>
      </c>
      <c r="AI268" s="2"/>
      <c r="AJ268" s="15" t="str">
        <f t="shared" si="106"/>
        <v/>
      </c>
      <c r="AK268" s="15">
        <f>IF(AJ268="",0,AVERAGE(AJ$10:AJ268))</f>
        <v>0</v>
      </c>
      <c r="AL268" s="15">
        <f>IF(AJ267="",0,VAR(AJ$10:AJ268))</f>
        <v>0</v>
      </c>
      <c r="AN268" s="2"/>
      <c r="AO268" s="15" t="str">
        <f t="shared" si="107"/>
        <v/>
      </c>
      <c r="AP268" s="15">
        <f>IF(AO268="",0,AVERAGE(AO$10:AO268))</f>
        <v>0</v>
      </c>
      <c r="AQ268" s="15">
        <f>IF(AO267="",0,VAR(AO$10:AO268))</f>
        <v>0</v>
      </c>
      <c r="AS268" s="2"/>
      <c r="AT268" s="15" t="str">
        <f t="shared" si="108"/>
        <v/>
      </c>
      <c r="AU268" s="15">
        <f>IF(AT268="",0,AVERAGE(AT$10:AT268))</f>
        <v>0</v>
      </c>
      <c r="AV268" s="15">
        <f>IF(AT267="",0,VAR(AT$10:AT268))</f>
        <v>0</v>
      </c>
      <c r="AX268" s="2"/>
      <c r="AY268" s="15" t="str">
        <f t="shared" si="109"/>
        <v/>
      </c>
      <c r="AZ268" s="15">
        <f>IF(AY268="",0,AVERAGE(AY$10:AY268))</f>
        <v>0</v>
      </c>
      <c r="BA268" s="15">
        <f>IF(AY267="",0,VAR(AY$10:AY268))</f>
        <v>0</v>
      </c>
    </row>
    <row r="269" spans="3:53" x14ac:dyDescent="0.25">
      <c r="C269" s="2"/>
      <c r="E269" s="2"/>
      <c r="F269" s="15" t="str">
        <f t="shared" si="131"/>
        <v/>
      </c>
      <c r="G269" s="15">
        <f>IF(F269="",0,AVERAGE($F$10:F269))</f>
        <v>0</v>
      </c>
      <c r="H269" s="15">
        <f>IF(F268="",0,VAR($F$10:F269))</f>
        <v>0</v>
      </c>
      <c r="J269" s="2"/>
      <c r="K269" s="15" t="str">
        <f t="shared" si="133"/>
        <v/>
      </c>
      <c r="L269" s="15">
        <f>IF(K269="",0,AVERAGE($K$10:K269))</f>
        <v>0</v>
      </c>
      <c r="M269" s="15">
        <f>IF(K268="",0,VAR($K$10:K269))</f>
        <v>0</v>
      </c>
      <c r="O269" s="2"/>
      <c r="P269" s="15" t="str">
        <f t="shared" si="134"/>
        <v/>
      </c>
      <c r="Q269" s="15">
        <f>IF(P269="",0,AVERAGE(P$10:P269))</f>
        <v>0</v>
      </c>
      <c r="R269" s="15">
        <f>IF(P268="",0,VAR(P$10:P269))</f>
        <v>0</v>
      </c>
      <c r="T269" s="2"/>
      <c r="U269" s="15" t="str">
        <f t="shared" si="110"/>
        <v/>
      </c>
      <c r="V269" s="15">
        <f>IF(U269="",0,AVERAGE(U$10:U269))</f>
        <v>0</v>
      </c>
      <c r="W269" s="15">
        <f>IF(U268="",0,VAR(U$10:U269))</f>
        <v>0</v>
      </c>
      <c r="Y269" s="2"/>
      <c r="Z269" s="15" t="str">
        <f t="shared" si="135"/>
        <v/>
      </c>
      <c r="AA269" s="15">
        <f>IF(Z269="",0,AVERAGE(Z$10:Z269))</f>
        <v>0</v>
      </c>
      <c r="AB269" s="15">
        <f>IF(Z268="",0,VAR(Z$10:Z269))</f>
        <v>0</v>
      </c>
      <c r="AD269" s="2"/>
      <c r="AE269" s="15" t="str">
        <f t="shared" si="111"/>
        <v/>
      </c>
      <c r="AF269" s="15">
        <f>IF(AE269="",0,AVERAGE(AE$10:AE269))</f>
        <v>0</v>
      </c>
      <c r="AG269" s="15">
        <f>IF(AE268="",0,VAR(AE$10:AE269))</f>
        <v>0</v>
      </c>
      <c r="AI269" s="2"/>
      <c r="AJ269" s="15" t="str">
        <f t="shared" ref="AJ269:AJ304" si="136">IF(AI269="","",+(AI269-AI268)/AI268)</f>
        <v/>
      </c>
      <c r="AK269" s="15">
        <f>IF(AJ269="",0,AVERAGE(AJ$10:AJ269))</f>
        <v>0</v>
      </c>
      <c r="AL269" s="15">
        <f>IF(AJ268="",0,VAR(AJ$10:AJ269))</f>
        <v>0</v>
      </c>
      <c r="AN269" s="2"/>
      <c r="AO269" s="15" t="str">
        <f t="shared" ref="AO269:AO304" si="137">IF(AN269="","",+(AN269-AN268)/AN268)</f>
        <v/>
      </c>
      <c r="AP269" s="15">
        <f>IF(AO269="",0,AVERAGE(AO$10:AO269))</f>
        <v>0</v>
      </c>
      <c r="AQ269" s="15">
        <f>IF(AO268="",0,VAR(AO$10:AO269))</f>
        <v>0</v>
      </c>
      <c r="AS269" s="2"/>
      <c r="AT269" s="15" t="str">
        <f t="shared" ref="AT269:AT304" si="138">IF(AS269="","",+(AS269-AS268)/AS268)</f>
        <v/>
      </c>
      <c r="AU269" s="15">
        <f>IF(AT269="",0,AVERAGE(AT$10:AT269))</f>
        <v>0</v>
      </c>
      <c r="AV269" s="15">
        <f>IF(AT268="",0,VAR(AT$10:AT269))</f>
        <v>0</v>
      </c>
      <c r="AX269" s="2"/>
      <c r="AY269" s="15" t="str">
        <f t="shared" ref="AY269:AY304" si="139">IF(AX269="","",+(AX269-AX268)/AX268)</f>
        <v/>
      </c>
      <c r="AZ269" s="15">
        <f>IF(AY269="",0,AVERAGE(AY$10:AY269))</f>
        <v>0</v>
      </c>
      <c r="BA269" s="15">
        <f>IF(AY268="",0,VAR(AY$10:AY269))</f>
        <v>0</v>
      </c>
    </row>
    <row r="270" spans="3:53" x14ac:dyDescent="0.25">
      <c r="C270" s="2"/>
      <c r="E270" s="2"/>
      <c r="F270" s="15"/>
      <c r="G270" s="15">
        <f>IF(F270="",0,AVERAGE($F$10:F270))</f>
        <v>0</v>
      </c>
      <c r="H270" s="15">
        <f>IF(F269="",0,VAR($F$10:F270))</f>
        <v>0</v>
      </c>
      <c r="J270" s="2"/>
      <c r="K270" s="15" t="str">
        <f t="shared" si="133"/>
        <v/>
      </c>
      <c r="L270" s="15">
        <f>IF(K270="",0,AVERAGE($K$10:K270))</f>
        <v>0</v>
      </c>
      <c r="M270" s="15">
        <f>IF(K269="",0,VAR($K$10:K270))</f>
        <v>0</v>
      </c>
      <c r="O270" s="2"/>
      <c r="P270" s="15" t="str">
        <f t="shared" si="134"/>
        <v/>
      </c>
      <c r="Q270" s="15">
        <f>IF(P270="",0,AVERAGE(P$10:P270))</f>
        <v>0</v>
      </c>
      <c r="R270" s="15">
        <f>IF(P269="",0,VAR(P$10:P270))</f>
        <v>0</v>
      </c>
      <c r="T270" s="2"/>
      <c r="U270" s="15" t="str">
        <f t="shared" ref="U270:U304" si="140">IF(T270="","",+(T270-T269)/T269)</f>
        <v/>
      </c>
      <c r="V270" s="15">
        <f>IF(U270="",0,AVERAGE(U$10:U270))</f>
        <v>0</v>
      </c>
      <c r="W270" s="15">
        <f>IF(U269="",0,VAR(U$10:U270))</f>
        <v>0</v>
      </c>
      <c r="Y270" s="2"/>
      <c r="Z270" s="15" t="str">
        <f t="shared" si="135"/>
        <v/>
      </c>
      <c r="AA270" s="15">
        <f>IF(Z270="",0,AVERAGE(Z$10:Z270))</f>
        <v>0</v>
      </c>
      <c r="AB270" s="15">
        <f>IF(Z269="",0,VAR(Z$10:Z270))</f>
        <v>0</v>
      </c>
      <c r="AD270" s="2"/>
      <c r="AE270" s="15" t="str">
        <f t="shared" ref="AE270:AE304" si="141">IF(AD270="","",+(AD270-AD269)/AD269)</f>
        <v/>
      </c>
      <c r="AF270" s="15">
        <f>IF(AE270="",0,AVERAGE(AE$10:AE270))</f>
        <v>0</v>
      </c>
      <c r="AG270" s="15">
        <f>IF(AE269="",0,VAR(AE$10:AE270))</f>
        <v>0</v>
      </c>
      <c r="AI270" s="2"/>
      <c r="AJ270" s="15" t="str">
        <f t="shared" si="136"/>
        <v/>
      </c>
      <c r="AK270" s="15">
        <f>IF(AJ270="",0,AVERAGE(AJ$10:AJ270))</f>
        <v>0</v>
      </c>
      <c r="AL270" s="15">
        <f>IF(AJ269="",0,VAR(AJ$10:AJ270))</f>
        <v>0</v>
      </c>
      <c r="AN270" s="2"/>
      <c r="AO270" s="15" t="str">
        <f t="shared" si="137"/>
        <v/>
      </c>
      <c r="AP270" s="15">
        <f>IF(AO270="",0,AVERAGE(AO$10:AO270))</f>
        <v>0</v>
      </c>
      <c r="AQ270" s="15">
        <f>IF(AO269="",0,VAR(AO$10:AO270))</f>
        <v>0</v>
      </c>
      <c r="AS270" s="2"/>
      <c r="AT270" s="15" t="str">
        <f t="shared" si="138"/>
        <v/>
      </c>
      <c r="AU270" s="15">
        <f>IF(AT270="",0,AVERAGE(AT$10:AT270))</f>
        <v>0</v>
      </c>
      <c r="AV270" s="15">
        <f>IF(AT269="",0,VAR(AT$10:AT270))</f>
        <v>0</v>
      </c>
      <c r="AX270" s="2"/>
      <c r="AY270" s="15" t="str">
        <f t="shared" si="139"/>
        <v/>
      </c>
      <c r="AZ270" s="15">
        <f>IF(AY270="",0,AVERAGE(AY$10:AY270))</f>
        <v>0</v>
      </c>
      <c r="BA270" s="15">
        <f>IF(AY269="",0,VAR(AY$10:AY270))</f>
        <v>0</v>
      </c>
    </row>
    <row r="271" spans="3:53" x14ac:dyDescent="0.25">
      <c r="C271" s="2"/>
      <c r="E271" s="2"/>
      <c r="F271" s="15" t="str">
        <f t="shared" ref="F271" si="142">IF(E271="","",+(E271-E270)/E270)</f>
        <v/>
      </c>
      <c r="G271" s="15">
        <f>IF(F271="",0,AVERAGE($F$10:F271))</f>
        <v>0</v>
      </c>
      <c r="H271" s="15">
        <f>IF(F270="",0,VAR($F$10:F271))</f>
        <v>0</v>
      </c>
      <c r="J271" s="2"/>
      <c r="K271" s="15" t="str">
        <f t="shared" si="133"/>
        <v/>
      </c>
      <c r="L271" s="15">
        <f>IF(K271="",0,AVERAGE($K$10:K271))</f>
        <v>0</v>
      </c>
      <c r="M271" s="15">
        <f>IF(K270="",0,VAR($K$10:K271))</f>
        <v>0</v>
      </c>
      <c r="O271" s="2"/>
      <c r="P271" s="15" t="str">
        <f t="shared" si="134"/>
        <v/>
      </c>
      <c r="Q271" s="15">
        <f>IF(P271="",0,AVERAGE(P$10:P271))</f>
        <v>0</v>
      </c>
      <c r="R271" s="15">
        <f>IF(P270="",0,VAR(P$10:P271))</f>
        <v>0</v>
      </c>
      <c r="T271" s="2"/>
      <c r="U271" s="15" t="str">
        <f t="shared" si="140"/>
        <v/>
      </c>
      <c r="V271" s="15">
        <f>IF(U271="",0,AVERAGE(U$10:U271))</f>
        <v>0</v>
      </c>
      <c r="W271" s="15">
        <f>IF(U270="",0,VAR(U$10:U271))</f>
        <v>0</v>
      </c>
      <c r="Y271" s="2"/>
      <c r="Z271" s="15" t="str">
        <f t="shared" si="135"/>
        <v/>
      </c>
      <c r="AA271" s="15">
        <f>IF(Z271="",0,AVERAGE(Z$10:Z271))</f>
        <v>0</v>
      </c>
      <c r="AB271" s="15">
        <f>IF(Z270="",0,VAR(Z$10:Z271))</f>
        <v>0</v>
      </c>
      <c r="AD271" s="2"/>
      <c r="AE271" s="15" t="str">
        <f t="shared" si="141"/>
        <v/>
      </c>
      <c r="AF271" s="15">
        <f>IF(AE271="",0,AVERAGE(AE$10:AE271))</f>
        <v>0</v>
      </c>
      <c r="AG271" s="15">
        <f>IF(AE270="",0,VAR(AE$10:AE271))</f>
        <v>0</v>
      </c>
      <c r="AI271" s="2"/>
      <c r="AJ271" s="15" t="str">
        <f t="shared" si="136"/>
        <v/>
      </c>
      <c r="AK271" s="15">
        <f>IF(AJ271="",0,AVERAGE(AJ$10:AJ271))</f>
        <v>0</v>
      </c>
      <c r="AL271" s="15">
        <f>IF(AJ270="",0,VAR(AJ$10:AJ271))</f>
        <v>0</v>
      </c>
      <c r="AN271" s="2"/>
      <c r="AO271" s="15" t="str">
        <f t="shared" si="137"/>
        <v/>
      </c>
      <c r="AP271" s="15">
        <f>IF(AO271="",0,AVERAGE(AO$10:AO271))</f>
        <v>0</v>
      </c>
      <c r="AQ271" s="15">
        <f>IF(AO270="",0,VAR(AO$10:AO271))</f>
        <v>0</v>
      </c>
      <c r="AS271" s="2"/>
      <c r="AT271" s="15" t="str">
        <f t="shared" si="138"/>
        <v/>
      </c>
      <c r="AU271" s="15">
        <f>IF(AT271="",0,AVERAGE(AT$10:AT271))</f>
        <v>0</v>
      </c>
      <c r="AV271" s="15">
        <f>IF(AT270="",0,VAR(AT$10:AT271))</f>
        <v>0</v>
      </c>
      <c r="AX271" s="2"/>
      <c r="AY271" s="15" t="str">
        <f t="shared" si="139"/>
        <v/>
      </c>
      <c r="AZ271" s="15">
        <f>IF(AY271="",0,AVERAGE(AY$10:AY271))</f>
        <v>0</v>
      </c>
      <c r="BA271" s="15">
        <f>IF(AY270="",0,VAR(AY$10:AY271))</f>
        <v>0</v>
      </c>
    </row>
    <row r="272" spans="3:53" x14ac:dyDescent="0.25">
      <c r="C272" s="2"/>
      <c r="E272" s="2"/>
      <c r="F272" s="15" t="str">
        <f t="shared" si="131"/>
        <v/>
      </c>
      <c r="G272" s="15">
        <f>IF(F272="",0,AVERAGE($F$10:F272))</f>
        <v>0</v>
      </c>
      <c r="H272" s="15">
        <f>IF(F271="",0,VAR($F$10:F272))</f>
        <v>0</v>
      </c>
      <c r="J272" s="2"/>
      <c r="K272" s="15" t="str">
        <f t="shared" si="133"/>
        <v/>
      </c>
      <c r="L272" s="15">
        <f>IF(K272="",0,AVERAGE($K$10:K272))</f>
        <v>0</v>
      </c>
      <c r="M272" s="15">
        <f>IF(K271="",0,VAR($K$10:K272))</f>
        <v>0</v>
      </c>
      <c r="O272" s="2"/>
      <c r="P272" s="15" t="str">
        <f t="shared" si="134"/>
        <v/>
      </c>
      <c r="Q272" s="15">
        <f>IF(P272="",0,AVERAGE(P$10:P272))</f>
        <v>0</v>
      </c>
      <c r="R272" s="15">
        <f>IF(P271="",0,VAR(P$10:P272))</f>
        <v>0</v>
      </c>
      <c r="T272" s="2"/>
      <c r="U272" s="15" t="str">
        <f t="shared" si="140"/>
        <v/>
      </c>
      <c r="V272" s="15">
        <f>IF(U272="",0,AVERAGE(U$10:U272))</f>
        <v>0</v>
      </c>
      <c r="W272" s="15">
        <f>IF(U271="",0,VAR(U$10:U272))</f>
        <v>0</v>
      </c>
      <c r="Y272" s="2"/>
      <c r="Z272" s="15" t="str">
        <f t="shared" si="135"/>
        <v/>
      </c>
      <c r="AA272" s="15">
        <f>IF(Z272="",0,AVERAGE(Z$10:Z272))</f>
        <v>0</v>
      </c>
      <c r="AB272" s="15">
        <f>IF(Z271="",0,VAR(Z$10:Z272))</f>
        <v>0</v>
      </c>
      <c r="AD272" s="2"/>
      <c r="AE272" s="15" t="str">
        <f t="shared" si="141"/>
        <v/>
      </c>
      <c r="AF272" s="15">
        <f>IF(AE272="",0,AVERAGE(AE$10:AE272))</f>
        <v>0</v>
      </c>
      <c r="AG272" s="15">
        <f>IF(AE271="",0,VAR(AE$10:AE272))</f>
        <v>0</v>
      </c>
      <c r="AI272" s="2"/>
      <c r="AJ272" s="15" t="str">
        <f t="shared" si="136"/>
        <v/>
      </c>
      <c r="AK272" s="15">
        <f>IF(AJ272="",0,AVERAGE(AJ$10:AJ272))</f>
        <v>0</v>
      </c>
      <c r="AL272" s="15">
        <f>IF(AJ271="",0,VAR(AJ$10:AJ272))</f>
        <v>0</v>
      </c>
      <c r="AN272" s="2"/>
      <c r="AO272" s="15" t="str">
        <f t="shared" si="137"/>
        <v/>
      </c>
      <c r="AP272" s="15">
        <f>IF(AO272="",0,AVERAGE(AO$10:AO272))</f>
        <v>0</v>
      </c>
      <c r="AQ272" s="15">
        <f>IF(AO271="",0,VAR(AO$10:AO272))</f>
        <v>0</v>
      </c>
      <c r="AS272" s="2"/>
      <c r="AT272" s="15" t="str">
        <f t="shared" si="138"/>
        <v/>
      </c>
      <c r="AU272" s="15">
        <f>IF(AT272="",0,AVERAGE(AT$10:AT272))</f>
        <v>0</v>
      </c>
      <c r="AV272" s="15">
        <f>IF(AT271="",0,VAR(AT$10:AT272))</f>
        <v>0</v>
      </c>
      <c r="AX272" s="2"/>
      <c r="AY272" s="15" t="str">
        <f t="shared" si="139"/>
        <v/>
      </c>
      <c r="AZ272" s="15">
        <f>IF(AY272="",0,AVERAGE(AY$10:AY272))</f>
        <v>0</v>
      </c>
      <c r="BA272" s="15">
        <f>IF(AY271="",0,VAR(AY$10:AY272))</f>
        <v>0</v>
      </c>
    </row>
    <row r="273" spans="3:53" x14ac:dyDescent="0.25">
      <c r="C273" s="2"/>
      <c r="E273" s="2"/>
      <c r="F273" s="15"/>
      <c r="G273" s="15">
        <f>IF(F273="",0,AVERAGE($F$10:F273))</f>
        <v>0</v>
      </c>
      <c r="H273" s="15">
        <f>IF(F272="",0,VAR($F$10:F273))</f>
        <v>0</v>
      </c>
      <c r="J273" s="2"/>
      <c r="K273" s="15" t="str">
        <f t="shared" si="133"/>
        <v/>
      </c>
      <c r="L273" s="15">
        <f>IF(K273="",0,AVERAGE($K$10:K273))</f>
        <v>0</v>
      </c>
      <c r="M273" s="15">
        <f>IF(K272="",0,VAR($K$10:K273))</f>
        <v>0</v>
      </c>
      <c r="O273" s="2"/>
      <c r="P273" s="15" t="str">
        <f t="shared" si="134"/>
        <v/>
      </c>
      <c r="Q273" s="15">
        <f>IF(P273="",0,AVERAGE(P$10:P273))</f>
        <v>0</v>
      </c>
      <c r="R273" s="15">
        <f>IF(P272="",0,VAR(P$10:P273))</f>
        <v>0</v>
      </c>
      <c r="T273" s="2"/>
      <c r="U273" s="15" t="str">
        <f t="shared" si="140"/>
        <v/>
      </c>
      <c r="V273" s="15">
        <f>IF(U273="",0,AVERAGE(U$10:U273))</f>
        <v>0</v>
      </c>
      <c r="W273" s="15">
        <f>IF(U272="",0,VAR(U$10:U273))</f>
        <v>0</v>
      </c>
      <c r="Y273" s="2"/>
      <c r="Z273" s="15" t="str">
        <f t="shared" si="135"/>
        <v/>
      </c>
      <c r="AA273" s="15">
        <f>IF(Z273="",0,AVERAGE(Z$10:Z273))</f>
        <v>0</v>
      </c>
      <c r="AB273" s="15">
        <f>IF(Z272="",0,VAR(Z$10:Z273))</f>
        <v>0</v>
      </c>
      <c r="AD273" s="2"/>
      <c r="AE273" s="15" t="str">
        <f t="shared" si="141"/>
        <v/>
      </c>
      <c r="AF273" s="15">
        <f>IF(AE273="",0,AVERAGE(AE$10:AE273))</f>
        <v>0</v>
      </c>
      <c r="AG273" s="15">
        <f>IF(AE272="",0,VAR(AE$10:AE273))</f>
        <v>0</v>
      </c>
      <c r="AI273" s="2"/>
      <c r="AJ273" s="15" t="str">
        <f t="shared" si="136"/>
        <v/>
      </c>
      <c r="AK273" s="15">
        <f>IF(AJ273="",0,AVERAGE(AJ$10:AJ273))</f>
        <v>0</v>
      </c>
      <c r="AL273" s="15">
        <f>IF(AJ272="",0,VAR(AJ$10:AJ273))</f>
        <v>0</v>
      </c>
      <c r="AN273" s="2"/>
      <c r="AO273" s="15" t="str">
        <f t="shared" si="137"/>
        <v/>
      </c>
      <c r="AP273" s="15">
        <f>IF(AO273="",0,AVERAGE(AO$10:AO273))</f>
        <v>0</v>
      </c>
      <c r="AQ273" s="15">
        <f>IF(AO272="",0,VAR(AO$10:AO273))</f>
        <v>0</v>
      </c>
      <c r="AS273" s="2"/>
      <c r="AT273" s="15" t="str">
        <f t="shared" si="138"/>
        <v/>
      </c>
      <c r="AU273" s="15">
        <f>IF(AT273="",0,AVERAGE(AT$10:AT273))</f>
        <v>0</v>
      </c>
      <c r="AV273" s="15">
        <f>IF(AT272="",0,VAR(AT$10:AT273))</f>
        <v>0</v>
      </c>
      <c r="AX273" s="2"/>
      <c r="AY273" s="15" t="str">
        <f t="shared" si="139"/>
        <v/>
      </c>
      <c r="AZ273" s="15">
        <f>IF(AY273="",0,AVERAGE(AY$10:AY273))</f>
        <v>0</v>
      </c>
      <c r="BA273" s="15">
        <f>IF(AY272="",0,VAR(AY$10:AY273))</f>
        <v>0</v>
      </c>
    </row>
    <row r="274" spans="3:53" x14ac:dyDescent="0.25">
      <c r="C274" s="2"/>
      <c r="E274" s="2"/>
      <c r="F274" s="15" t="str">
        <f t="shared" ref="F274" si="143">IF(E274="","",+(E274-E273)/E273)</f>
        <v/>
      </c>
      <c r="G274" s="15">
        <f>IF(F274="",0,AVERAGE($F$10:F274))</f>
        <v>0</v>
      </c>
      <c r="H274" s="15">
        <f>IF(F273="",0,VAR($F$10:F274))</f>
        <v>0</v>
      </c>
      <c r="J274" s="2"/>
      <c r="K274" s="15" t="str">
        <f t="shared" si="133"/>
        <v/>
      </c>
      <c r="L274" s="15">
        <f>IF(K274="",0,AVERAGE($K$10:K274))</f>
        <v>0</v>
      </c>
      <c r="M274" s="15">
        <f>IF(K273="",0,VAR($K$10:K274))</f>
        <v>0</v>
      </c>
      <c r="O274" s="2"/>
      <c r="P274" s="15" t="str">
        <f t="shared" si="134"/>
        <v/>
      </c>
      <c r="Q274" s="15">
        <f>IF(P274="",0,AVERAGE(P$10:P274))</f>
        <v>0</v>
      </c>
      <c r="R274" s="15">
        <f>IF(P273="",0,VAR(P$10:P274))</f>
        <v>0</v>
      </c>
      <c r="T274" s="2"/>
      <c r="U274" s="15" t="str">
        <f t="shared" si="140"/>
        <v/>
      </c>
      <c r="V274" s="15">
        <f>IF(U274="",0,AVERAGE(U$10:U274))</f>
        <v>0</v>
      </c>
      <c r="W274" s="15">
        <f>IF(U273="",0,VAR(U$10:U274))</f>
        <v>0</v>
      </c>
      <c r="Y274" s="2"/>
      <c r="Z274" s="15" t="str">
        <f t="shared" si="135"/>
        <v/>
      </c>
      <c r="AA274" s="15">
        <f>IF(Z274="",0,AVERAGE(Z$10:Z274))</f>
        <v>0</v>
      </c>
      <c r="AB274" s="15">
        <f>IF(Z273="",0,VAR(Z$10:Z274))</f>
        <v>0</v>
      </c>
      <c r="AD274" s="2"/>
      <c r="AE274" s="15" t="str">
        <f t="shared" si="141"/>
        <v/>
      </c>
      <c r="AF274" s="15">
        <f>IF(AE274="",0,AVERAGE(AE$10:AE274))</f>
        <v>0</v>
      </c>
      <c r="AG274" s="15">
        <f>IF(AE273="",0,VAR(AE$10:AE274))</f>
        <v>0</v>
      </c>
      <c r="AI274" s="2"/>
      <c r="AJ274" s="15" t="str">
        <f t="shared" si="136"/>
        <v/>
      </c>
      <c r="AK274" s="15">
        <f>IF(AJ274="",0,AVERAGE(AJ$10:AJ274))</f>
        <v>0</v>
      </c>
      <c r="AL274" s="15">
        <f>IF(AJ273="",0,VAR(AJ$10:AJ274))</f>
        <v>0</v>
      </c>
      <c r="AN274" s="2"/>
      <c r="AO274" s="15" t="str">
        <f t="shared" si="137"/>
        <v/>
      </c>
      <c r="AP274" s="15">
        <f>IF(AO274="",0,AVERAGE(AO$10:AO274))</f>
        <v>0</v>
      </c>
      <c r="AQ274" s="15">
        <f>IF(AO273="",0,VAR(AO$10:AO274))</f>
        <v>0</v>
      </c>
      <c r="AS274" s="2"/>
      <c r="AT274" s="15" t="str">
        <f t="shared" si="138"/>
        <v/>
      </c>
      <c r="AU274" s="15">
        <f>IF(AT274="",0,AVERAGE(AT$10:AT274))</f>
        <v>0</v>
      </c>
      <c r="AV274" s="15">
        <f>IF(AT273="",0,VAR(AT$10:AT274))</f>
        <v>0</v>
      </c>
      <c r="AX274" s="2"/>
      <c r="AY274" s="15" t="str">
        <f t="shared" si="139"/>
        <v/>
      </c>
      <c r="AZ274" s="15">
        <f>IF(AY274="",0,AVERAGE(AY$10:AY274))</f>
        <v>0</v>
      </c>
      <c r="BA274" s="15">
        <f>IF(AY273="",0,VAR(AY$10:AY274))</f>
        <v>0</v>
      </c>
    </row>
    <row r="275" spans="3:53" x14ac:dyDescent="0.25">
      <c r="C275" s="2"/>
      <c r="E275" s="2"/>
      <c r="F275" s="15" t="str">
        <f t="shared" si="131"/>
        <v/>
      </c>
      <c r="G275" s="15">
        <f>IF(F275="",0,AVERAGE($F$10:F275))</f>
        <v>0</v>
      </c>
      <c r="H275" s="15">
        <f>IF(F274="",0,VAR($F$10:F275))</f>
        <v>0</v>
      </c>
      <c r="J275" s="2"/>
      <c r="K275" s="15" t="str">
        <f t="shared" si="133"/>
        <v/>
      </c>
      <c r="L275" s="15">
        <f>IF(K275="",0,AVERAGE($K$10:K275))</f>
        <v>0</v>
      </c>
      <c r="M275" s="15">
        <f>IF(K274="",0,VAR($K$10:K275))</f>
        <v>0</v>
      </c>
      <c r="O275" s="2"/>
      <c r="P275" s="15" t="str">
        <f t="shared" si="134"/>
        <v/>
      </c>
      <c r="Q275" s="15">
        <f>IF(P275="",0,AVERAGE(P$10:P275))</f>
        <v>0</v>
      </c>
      <c r="R275" s="15">
        <f>IF(P274="",0,VAR(P$10:P275))</f>
        <v>0</v>
      </c>
      <c r="T275" s="2"/>
      <c r="U275" s="15" t="str">
        <f t="shared" si="140"/>
        <v/>
      </c>
      <c r="V275" s="15">
        <f>IF(U275="",0,AVERAGE(U$10:U275))</f>
        <v>0</v>
      </c>
      <c r="W275" s="15">
        <f>IF(U274="",0,VAR(U$10:U275))</f>
        <v>0</v>
      </c>
      <c r="Y275" s="2"/>
      <c r="Z275" s="15" t="str">
        <f t="shared" si="135"/>
        <v/>
      </c>
      <c r="AA275" s="15">
        <f>IF(Z275="",0,AVERAGE(Z$10:Z275))</f>
        <v>0</v>
      </c>
      <c r="AB275" s="15">
        <f>IF(Z274="",0,VAR(Z$10:Z275))</f>
        <v>0</v>
      </c>
      <c r="AD275" s="2"/>
      <c r="AE275" s="15" t="str">
        <f t="shared" si="141"/>
        <v/>
      </c>
      <c r="AF275" s="15">
        <f>IF(AE275="",0,AVERAGE(AE$10:AE275))</f>
        <v>0</v>
      </c>
      <c r="AG275" s="15">
        <f>IF(AE274="",0,VAR(AE$10:AE275))</f>
        <v>0</v>
      </c>
      <c r="AI275" s="2"/>
      <c r="AJ275" s="15" t="str">
        <f t="shared" si="136"/>
        <v/>
      </c>
      <c r="AK275" s="15">
        <f>IF(AJ275="",0,AVERAGE(AJ$10:AJ275))</f>
        <v>0</v>
      </c>
      <c r="AL275" s="15">
        <f>IF(AJ274="",0,VAR(AJ$10:AJ275))</f>
        <v>0</v>
      </c>
      <c r="AN275" s="2"/>
      <c r="AO275" s="15" t="str">
        <f t="shared" si="137"/>
        <v/>
      </c>
      <c r="AP275" s="15">
        <f>IF(AO275="",0,AVERAGE(AO$10:AO275))</f>
        <v>0</v>
      </c>
      <c r="AQ275" s="15">
        <f>IF(AO274="",0,VAR(AO$10:AO275))</f>
        <v>0</v>
      </c>
      <c r="AS275" s="2"/>
      <c r="AT275" s="15" t="str">
        <f t="shared" si="138"/>
        <v/>
      </c>
      <c r="AU275" s="15">
        <f>IF(AT275="",0,AVERAGE(AT$10:AT275))</f>
        <v>0</v>
      </c>
      <c r="AV275" s="15">
        <f>IF(AT274="",0,VAR(AT$10:AT275))</f>
        <v>0</v>
      </c>
      <c r="AX275" s="2"/>
      <c r="AY275" s="15" t="str">
        <f t="shared" si="139"/>
        <v/>
      </c>
      <c r="AZ275" s="15">
        <f>IF(AY275="",0,AVERAGE(AY$10:AY275))</f>
        <v>0</v>
      </c>
      <c r="BA275" s="15">
        <f>IF(AY274="",0,VAR(AY$10:AY275))</f>
        <v>0</v>
      </c>
    </row>
    <row r="276" spans="3:53" x14ac:dyDescent="0.25">
      <c r="C276" s="2"/>
      <c r="E276" s="2"/>
      <c r="F276" s="15"/>
      <c r="G276" s="15">
        <f>IF(F276="",0,AVERAGE($F$10:F276))</f>
        <v>0</v>
      </c>
      <c r="H276" s="15">
        <f>IF(F275="",0,VAR($F$10:F276))</f>
        <v>0</v>
      </c>
      <c r="J276" s="2"/>
      <c r="K276" s="15" t="str">
        <f t="shared" si="133"/>
        <v/>
      </c>
      <c r="L276" s="15">
        <f>IF(K276="",0,AVERAGE($K$10:K276))</f>
        <v>0</v>
      </c>
      <c r="M276" s="15">
        <f>IF(K275="",0,VAR($K$10:K276))</f>
        <v>0</v>
      </c>
      <c r="O276" s="2"/>
      <c r="P276" s="15" t="str">
        <f t="shared" si="134"/>
        <v/>
      </c>
      <c r="Q276" s="15">
        <f>IF(P276="",0,AVERAGE(P$10:P276))</f>
        <v>0</v>
      </c>
      <c r="R276" s="15">
        <f>IF(P275="",0,VAR(P$10:P276))</f>
        <v>0</v>
      </c>
      <c r="T276" s="2"/>
      <c r="U276" s="15" t="str">
        <f t="shared" si="140"/>
        <v/>
      </c>
      <c r="V276" s="15">
        <f>IF(U276="",0,AVERAGE(U$10:U276))</f>
        <v>0</v>
      </c>
      <c r="W276" s="15">
        <f>IF(U275="",0,VAR(U$10:U276))</f>
        <v>0</v>
      </c>
      <c r="Y276" s="2"/>
      <c r="Z276" s="15" t="str">
        <f t="shared" si="135"/>
        <v/>
      </c>
      <c r="AA276" s="15">
        <f>IF(Z276="",0,AVERAGE(Z$10:Z276))</f>
        <v>0</v>
      </c>
      <c r="AB276" s="15">
        <f>IF(Z275="",0,VAR(Z$10:Z276))</f>
        <v>0</v>
      </c>
      <c r="AD276" s="2"/>
      <c r="AE276" s="15" t="str">
        <f t="shared" si="141"/>
        <v/>
      </c>
      <c r="AF276" s="15">
        <f>IF(AE276="",0,AVERAGE(AE$10:AE276))</f>
        <v>0</v>
      </c>
      <c r="AG276" s="15">
        <f>IF(AE275="",0,VAR(AE$10:AE276))</f>
        <v>0</v>
      </c>
      <c r="AI276" s="2"/>
      <c r="AJ276" s="15" t="str">
        <f t="shared" si="136"/>
        <v/>
      </c>
      <c r="AK276" s="15">
        <f>IF(AJ276="",0,AVERAGE(AJ$10:AJ276))</f>
        <v>0</v>
      </c>
      <c r="AL276" s="15">
        <f>IF(AJ275="",0,VAR(AJ$10:AJ276))</f>
        <v>0</v>
      </c>
      <c r="AN276" s="2"/>
      <c r="AO276" s="15" t="str">
        <f t="shared" si="137"/>
        <v/>
      </c>
      <c r="AP276" s="15">
        <f>IF(AO276="",0,AVERAGE(AO$10:AO276))</f>
        <v>0</v>
      </c>
      <c r="AQ276" s="15">
        <f>IF(AO275="",0,VAR(AO$10:AO276))</f>
        <v>0</v>
      </c>
      <c r="AS276" s="2"/>
      <c r="AT276" s="15" t="str">
        <f t="shared" si="138"/>
        <v/>
      </c>
      <c r="AU276" s="15">
        <f>IF(AT276="",0,AVERAGE(AT$10:AT276))</f>
        <v>0</v>
      </c>
      <c r="AV276" s="15">
        <f>IF(AT275="",0,VAR(AT$10:AT276))</f>
        <v>0</v>
      </c>
      <c r="AX276" s="2"/>
      <c r="AY276" s="15" t="str">
        <f t="shared" si="139"/>
        <v/>
      </c>
      <c r="AZ276" s="15">
        <f>IF(AY276="",0,AVERAGE(AY$10:AY276))</f>
        <v>0</v>
      </c>
      <c r="BA276" s="15">
        <f>IF(AY275="",0,VAR(AY$10:AY276))</f>
        <v>0</v>
      </c>
    </row>
    <row r="277" spans="3:53" x14ac:dyDescent="0.25">
      <c r="C277" s="2"/>
      <c r="E277" s="2"/>
      <c r="F277" s="15" t="str">
        <f t="shared" ref="F277" si="144">IF(E277="","",+(E277-E276)/E276)</f>
        <v/>
      </c>
      <c r="G277" s="15">
        <f>IF(F277="",0,AVERAGE($F$10:F277))</f>
        <v>0</v>
      </c>
      <c r="H277" s="15">
        <f>IF(F276="",0,VAR($F$10:F277))</f>
        <v>0</v>
      </c>
      <c r="J277" s="2"/>
      <c r="K277" s="15" t="str">
        <f t="shared" si="133"/>
        <v/>
      </c>
      <c r="L277" s="15">
        <f>IF(K277="",0,AVERAGE($K$10:K277))</f>
        <v>0</v>
      </c>
      <c r="M277" s="15">
        <f>IF(K276="",0,VAR($K$10:K277))</f>
        <v>0</v>
      </c>
      <c r="O277" s="2"/>
      <c r="P277" s="15" t="str">
        <f t="shared" si="134"/>
        <v/>
      </c>
      <c r="Q277" s="15">
        <f>IF(P277="",0,AVERAGE(P$10:P277))</f>
        <v>0</v>
      </c>
      <c r="R277" s="15">
        <f>IF(P276="",0,VAR(P$10:P277))</f>
        <v>0</v>
      </c>
      <c r="T277" s="2"/>
      <c r="U277" s="15" t="str">
        <f t="shared" si="140"/>
        <v/>
      </c>
      <c r="V277" s="15">
        <f>IF(U277="",0,AVERAGE(U$10:U277))</f>
        <v>0</v>
      </c>
      <c r="W277" s="15">
        <f>IF(U276="",0,VAR(U$10:U277))</f>
        <v>0</v>
      </c>
      <c r="Y277" s="2"/>
      <c r="Z277" s="15" t="str">
        <f t="shared" si="135"/>
        <v/>
      </c>
      <c r="AA277" s="15">
        <f>IF(Z277="",0,AVERAGE(Z$10:Z277))</f>
        <v>0</v>
      </c>
      <c r="AB277" s="15">
        <f>IF(Z276="",0,VAR(Z$10:Z277))</f>
        <v>0</v>
      </c>
      <c r="AD277" s="2"/>
      <c r="AE277" s="15" t="str">
        <f t="shared" si="141"/>
        <v/>
      </c>
      <c r="AF277" s="15">
        <f>IF(AE277="",0,AVERAGE(AE$10:AE277))</f>
        <v>0</v>
      </c>
      <c r="AG277" s="15">
        <f>IF(AE276="",0,VAR(AE$10:AE277))</f>
        <v>0</v>
      </c>
      <c r="AI277" s="2"/>
      <c r="AJ277" s="15" t="str">
        <f t="shared" si="136"/>
        <v/>
      </c>
      <c r="AK277" s="15">
        <f>IF(AJ277="",0,AVERAGE(AJ$10:AJ277))</f>
        <v>0</v>
      </c>
      <c r="AL277" s="15">
        <f>IF(AJ276="",0,VAR(AJ$10:AJ277))</f>
        <v>0</v>
      </c>
      <c r="AN277" s="2"/>
      <c r="AO277" s="15" t="str">
        <f t="shared" si="137"/>
        <v/>
      </c>
      <c r="AP277" s="15">
        <f>IF(AO277="",0,AVERAGE(AO$10:AO277))</f>
        <v>0</v>
      </c>
      <c r="AQ277" s="15">
        <f>IF(AO276="",0,VAR(AO$10:AO277))</f>
        <v>0</v>
      </c>
      <c r="AS277" s="2"/>
      <c r="AT277" s="15" t="str">
        <f t="shared" si="138"/>
        <v/>
      </c>
      <c r="AU277" s="15">
        <f>IF(AT277="",0,AVERAGE(AT$10:AT277))</f>
        <v>0</v>
      </c>
      <c r="AV277" s="15">
        <f>IF(AT276="",0,VAR(AT$10:AT277))</f>
        <v>0</v>
      </c>
      <c r="AX277" s="2"/>
      <c r="AY277" s="15" t="str">
        <f t="shared" si="139"/>
        <v/>
      </c>
      <c r="AZ277" s="15">
        <f>IF(AY277="",0,AVERAGE(AY$10:AY277))</f>
        <v>0</v>
      </c>
      <c r="BA277" s="15">
        <f>IF(AY276="",0,VAR(AY$10:AY277))</f>
        <v>0</v>
      </c>
    </row>
    <row r="278" spans="3:53" x14ac:dyDescent="0.25">
      <c r="C278" s="2"/>
      <c r="E278" s="2"/>
      <c r="F278" s="15" t="str">
        <f t="shared" si="131"/>
        <v/>
      </c>
      <c r="G278" s="15">
        <f>IF(F278="",0,AVERAGE($F$10:F278))</f>
        <v>0</v>
      </c>
      <c r="H278" s="15">
        <f>IF(F277="",0,VAR($F$10:F278))</f>
        <v>0</v>
      </c>
      <c r="J278" s="2"/>
      <c r="K278" s="15" t="str">
        <f t="shared" si="133"/>
        <v/>
      </c>
      <c r="L278" s="15">
        <f>IF(K278="",0,AVERAGE($K$10:K278))</f>
        <v>0</v>
      </c>
      <c r="M278" s="15">
        <f>IF(K277="",0,VAR($K$10:K278))</f>
        <v>0</v>
      </c>
      <c r="O278" s="2"/>
      <c r="P278" s="15" t="str">
        <f t="shared" si="134"/>
        <v/>
      </c>
      <c r="Q278" s="15">
        <f>IF(P278="",0,AVERAGE(P$10:P278))</f>
        <v>0</v>
      </c>
      <c r="R278" s="15">
        <f>IF(P277="",0,VAR(P$10:P278))</f>
        <v>0</v>
      </c>
      <c r="T278" s="2"/>
      <c r="U278" s="15" t="str">
        <f t="shared" si="140"/>
        <v/>
      </c>
      <c r="V278" s="15">
        <f>IF(U278="",0,AVERAGE(U$10:U278))</f>
        <v>0</v>
      </c>
      <c r="W278" s="15">
        <f>IF(U277="",0,VAR(U$10:U278))</f>
        <v>0</v>
      </c>
      <c r="Y278" s="2"/>
      <c r="Z278" s="15" t="str">
        <f t="shared" si="135"/>
        <v/>
      </c>
      <c r="AA278" s="15">
        <f>IF(Z278="",0,AVERAGE(Z$10:Z278))</f>
        <v>0</v>
      </c>
      <c r="AB278" s="15">
        <f>IF(Z277="",0,VAR(Z$10:Z278))</f>
        <v>0</v>
      </c>
      <c r="AD278" s="2"/>
      <c r="AE278" s="15" t="str">
        <f t="shared" si="141"/>
        <v/>
      </c>
      <c r="AF278" s="15">
        <f>IF(AE278="",0,AVERAGE(AE$10:AE278))</f>
        <v>0</v>
      </c>
      <c r="AG278" s="15">
        <f>IF(AE277="",0,VAR(AE$10:AE278))</f>
        <v>0</v>
      </c>
      <c r="AI278" s="2"/>
      <c r="AJ278" s="15" t="str">
        <f t="shared" si="136"/>
        <v/>
      </c>
      <c r="AK278" s="15">
        <f>IF(AJ278="",0,AVERAGE(AJ$10:AJ278))</f>
        <v>0</v>
      </c>
      <c r="AL278" s="15">
        <f>IF(AJ277="",0,VAR(AJ$10:AJ278))</f>
        <v>0</v>
      </c>
      <c r="AN278" s="2"/>
      <c r="AO278" s="15" t="str">
        <f t="shared" si="137"/>
        <v/>
      </c>
      <c r="AP278" s="15">
        <f>IF(AO278="",0,AVERAGE(AO$10:AO278))</f>
        <v>0</v>
      </c>
      <c r="AQ278" s="15">
        <f>IF(AO277="",0,VAR(AO$10:AO278))</f>
        <v>0</v>
      </c>
      <c r="AS278" s="2"/>
      <c r="AT278" s="15" t="str">
        <f t="shared" si="138"/>
        <v/>
      </c>
      <c r="AU278" s="15">
        <f>IF(AT278="",0,AVERAGE(AT$10:AT278))</f>
        <v>0</v>
      </c>
      <c r="AV278" s="15">
        <f>IF(AT277="",0,VAR(AT$10:AT278))</f>
        <v>0</v>
      </c>
      <c r="AX278" s="2"/>
      <c r="AY278" s="15" t="str">
        <f t="shared" si="139"/>
        <v/>
      </c>
      <c r="AZ278" s="15">
        <f>IF(AY278="",0,AVERAGE(AY$10:AY278))</f>
        <v>0</v>
      </c>
      <c r="BA278" s="15">
        <f>IF(AY277="",0,VAR(AY$10:AY278))</f>
        <v>0</v>
      </c>
    </row>
    <row r="279" spans="3:53" x14ac:dyDescent="0.25">
      <c r="C279" s="2"/>
      <c r="E279" s="2"/>
      <c r="F279" s="15"/>
      <c r="G279" s="15">
        <f>IF(F279="",0,AVERAGE($F$10:F279))</f>
        <v>0</v>
      </c>
      <c r="H279" s="15">
        <f>IF(F278="",0,VAR($F$10:F279))</f>
        <v>0</v>
      </c>
      <c r="J279" s="2"/>
      <c r="K279" s="15" t="str">
        <f t="shared" si="133"/>
        <v/>
      </c>
      <c r="L279" s="15">
        <f>IF(K279="",0,AVERAGE($K$10:K279))</f>
        <v>0</v>
      </c>
      <c r="M279" s="15">
        <f>IF(K278="",0,VAR($K$10:K279))</f>
        <v>0</v>
      </c>
      <c r="O279" s="2"/>
      <c r="P279" s="15" t="str">
        <f t="shared" si="134"/>
        <v/>
      </c>
      <c r="Q279" s="15">
        <f>IF(P279="",0,AVERAGE(P$10:P279))</f>
        <v>0</v>
      </c>
      <c r="R279" s="15">
        <f>IF(P278="",0,VAR(P$10:P279))</f>
        <v>0</v>
      </c>
      <c r="T279" s="2"/>
      <c r="U279" s="15" t="str">
        <f t="shared" si="140"/>
        <v/>
      </c>
      <c r="V279" s="15">
        <f>IF(U279="",0,AVERAGE(U$10:U279))</f>
        <v>0</v>
      </c>
      <c r="W279" s="15">
        <f>IF(U278="",0,VAR(U$10:U279))</f>
        <v>0</v>
      </c>
      <c r="Y279" s="2"/>
      <c r="Z279" s="15" t="str">
        <f t="shared" si="135"/>
        <v/>
      </c>
      <c r="AA279" s="15">
        <f>IF(Z279="",0,AVERAGE(Z$10:Z279))</f>
        <v>0</v>
      </c>
      <c r="AB279" s="15">
        <f>IF(Z278="",0,VAR(Z$10:Z279))</f>
        <v>0</v>
      </c>
      <c r="AD279" s="2"/>
      <c r="AE279" s="15" t="str">
        <f t="shared" si="141"/>
        <v/>
      </c>
      <c r="AF279" s="15">
        <f>IF(AE279="",0,AVERAGE(AE$10:AE279))</f>
        <v>0</v>
      </c>
      <c r="AG279" s="15">
        <f>IF(AE278="",0,VAR(AE$10:AE279))</f>
        <v>0</v>
      </c>
      <c r="AI279" s="2"/>
      <c r="AJ279" s="15" t="str">
        <f t="shared" si="136"/>
        <v/>
      </c>
      <c r="AK279" s="15">
        <f>IF(AJ279="",0,AVERAGE(AJ$10:AJ279))</f>
        <v>0</v>
      </c>
      <c r="AL279" s="15">
        <f>IF(AJ278="",0,VAR(AJ$10:AJ279))</f>
        <v>0</v>
      </c>
      <c r="AN279" s="2"/>
      <c r="AO279" s="15" t="str">
        <f t="shared" si="137"/>
        <v/>
      </c>
      <c r="AP279" s="15">
        <f>IF(AO279="",0,AVERAGE(AO$10:AO279))</f>
        <v>0</v>
      </c>
      <c r="AQ279" s="15">
        <f>IF(AO278="",0,VAR(AO$10:AO279))</f>
        <v>0</v>
      </c>
      <c r="AS279" s="2"/>
      <c r="AT279" s="15" t="str">
        <f t="shared" si="138"/>
        <v/>
      </c>
      <c r="AU279" s="15">
        <f>IF(AT279="",0,AVERAGE(AT$10:AT279))</f>
        <v>0</v>
      </c>
      <c r="AV279" s="15">
        <f>IF(AT278="",0,VAR(AT$10:AT279))</f>
        <v>0</v>
      </c>
      <c r="AX279" s="2"/>
      <c r="AY279" s="15" t="str">
        <f t="shared" si="139"/>
        <v/>
      </c>
      <c r="AZ279" s="15">
        <f>IF(AY279="",0,AVERAGE(AY$10:AY279))</f>
        <v>0</v>
      </c>
      <c r="BA279" s="15">
        <f>IF(AY278="",0,VAR(AY$10:AY279))</f>
        <v>0</v>
      </c>
    </row>
    <row r="280" spans="3:53" x14ac:dyDescent="0.25">
      <c r="C280" s="2"/>
      <c r="E280" s="2"/>
      <c r="F280" s="15" t="str">
        <f t="shared" ref="F280" si="145">IF(E280="","",+(E280-E279)/E279)</f>
        <v/>
      </c>
      <c r="G280" s="15">
        <f>IF(F280="",0,AVERAGE($F$10:F280))</f>
        <v>0</v>
      </c>
      <c r="H280" s="15">
        <f>IF(F279="",0,VAR($F$10:F280))</f>
        <v>0</v>
      </c>
      <c r="J280" s="2"/>
      <c r="K280" s="15" t="str">
        <f t="shared" si="133"/>
        <v/>
      </c>
      <c r="L280" s="15">
        <f>IF(K280="",0,AVERAGE($K$10:K280))</f>
        <v>0</v>
      </c>
      <c r="M280" s="15">
        <f>IF(K279="",0,VAR($K$10:K280))</f>
        <v>0</v>
      </c>
      <c r="O280" s="2"/>
      <c r="P280" s="15" t="str">
        <f t="shared" si="134"/>
        <v/>
      </c>
      <c r="Q280" s="15">
        <f>IF(P280="",0,AVERAGE(P$10:P280))</f>
        <v>0</v>
      </c>
      <c r="R280" s="15">
        <f>IF(P279="",0,VAR(P$10:P280))</f>
        <v>0</v>
      </c>
      <c r="T280" s="2"/>
      <c r="U280" s="15" t="str">
        <f t="shared" si="140"/>
        <v/>
      </c>
      <c r="V280" s="15">
        <f>IF(U280="",0,AVERAGE(U$10:U280))</f>
        <v>0</v>
      </c>
      <c r="W280" s="15">
        <f>IF(U279="",0,VAR(U$10:U280))</f>
        <v>0</v>
      </c>
      <c r="Y280" s="2"/>
      <c r="Z280" s="15" t="str">
        <f t="shared" si="135"/>
        <v/>
      </c>
      <c r="AA280" s="15">
        <f>IF(Z280="",0,AVERAGE(Z$10:Z280))</f>
        <v>0</v>
      </c>
      <c r="AB280" s="15">
        <f>IF(Z279="",0,VAR(Z$10:Z280))</f>
        <v>0</v>
      </c>
      <c r="AD280" s="2"/>
      <c r="AE280" s="15" t="str">
        <f t="shared" si="141"/>
        <v/>
      </c>
      <c r="AF280" s="15">
        <f>IF(AE280="",0,AVERAGE(AE$10:AE280))</f>
        <v>0</v>
      </c>
      <c r="AG280" s="15">
        <f>IF(AE279="",0,VAR(AE$10:AE280))</f>
        <v>0</v>
      </c>
      <c r="AI280" s="2"/>
      <c r="AJ280" s="15" t="str">
        <f t="shared" si="136"/>
        <v/>
      </c>
      <c r="AK280" s="15">
        <f>IF(AJ280="",0,AVERAGE(AJ$10:AJ280))</f>
        <v>0</v>
      </c>
      <c r="AL280" s="15">
        <f>IF(AJ279="",0,VAR(AJ$10:AJ280))</f>
        <v>0</v>
      </c>
      <c r="AN280" s="2"/>
      <c r="AO280" s="15" t="str">
        <f t="shared" si="137"/>
        <v/>
      </c>
      <c r="AP280" s="15">
        <f>IF(AO280="",0,AVERAGE(AO$10:AO280))</f>
        <v>0</v>
      </c>
      <c r="AQ280" s="15">
        <f>IF(AO279="",0,VAR(AO$10:AO280))</f>
        <v>0</v>
      </c>
      <c r="AS280" s="2"/>
      <c r="AT280" s="15" t="str">
        <f t="shared" si="138"/>
        <v/>
      </c>
      <c r="AU280" s="15">
        <f>IF(AT280="",0,AVERAGE(AT$10:AT280))</f>
        <v>0</v>
      </c>
      <c r="AV280" s="15">
        <f>IF(AT279="",0,VAR(AT$10:AT280))</f>
        <v>0</v>
      </c>
      <c r="AX280" s="2"/>
      <c r="AY280" s="15" t="str">
        <f t="shared" si="139"/>
        <v/>
      </c>
      <c r="AZ280" s="15">
        <f>IF(AY280="",0,AVERAGE(AY$10:AY280))</f>
        <v>0</v>
      </c>
      <c r="BA280" s="15">
        <f>IF(AY279="",0,VAR(AY$10:AY280))</f>
        <v>0</v>
      </c>
    </row>
    <row r="281" spans="3:53" x14ac:dyDescent="0.25">
      <c r="C281" s="2"/>
      <c r="E281" s="2"/>
      <c r="F281" s="15" t="str">
        <f t="shared" si="131"/>
        <v/>
      </c>
      <c r="G281" s="15">
        <f>IF(F281="",0,AVERAGE($F$10:F281))</f>
        <v>0</v>
      </c>
      <c r="H281" s="15">
        <f>IF(F280="",0,VAR($F$10:F281))</f>
        <v>0</v>
      </c>
      <c r="J281" s="2"/>
      <c r="K281" s="15" t="str">
        <f t="shared" si="133"/>
        <v/>
      </c>
      <c r="L281" s="15">
        <f>IF(K281="",0,AVERAGE($K$10:K281))</f>
        <v>0</v>
      </c>
      <c r="M281" s="15">
        <f>IF(K280="",0,VAR($K$10:K281))</f>
        <v>0</v>
      </c>
      <c r="O281" s="2"/>
      <c r="P281" s="15" t="str">
        <f t="shared" si="134"/>
        <v/>
      </c>
      <c r="Q281" s="15">
        <f>IF(P281="",0,AVERAGE(P$10:P281))</f>
        <v>0</v>
      </c>
      <c r="R281" s="15">
        <f>IF(P280="",0,VAR(P$10:P281))</f>
        <v>0</v>
      </c>
      <c r="T281" s="2"/>
      <c r="U281" s="15" t="str">
        <f t="shared" si="140"/>
        <v/>
      </c>
      <c r="V281" s="15">
        <f>IF(U281="",0,AVERAGE(U$10:U281))</f>
        <v>0</v>
      </c>
      <c r="W281" s="15">
        <f>IF(U280="",0,VAR(U$10:U281))</f>
        <v>0</v>
      </c>
      <c r="Y281" s="2"/>
      <c r="Z281" s="15" t="str">
        <f t="shared" si="135"/>
        <v/>
      </c>
      <c r="AA281" s="15">
        <f>IF(Z281="",0,AVERAGE(Z$10:Z281))</f>
        <v>0</v>
      </c>
      <c r="AB281" s="15">
        <f>IF(Z280="",0,VAR(Z$10:Z281))</f>
        <v>0</v>
      </c>
      <c r="AD281" s="2"/>
      <c r="AE281" s="15" t="str">
        <f t="shared" si="141"/>
        <v/>
      </c>
      <c r="AF281" s="15">
        <f>IF(AE281="",0,AVERAGE(AE$10:AE281))</f>
        <v>0</v>
      </c>
      <c r="AG281" s="15">
        <f>IF(AE280="",0,VAR(AE$10:AE281))</f>
        <v>0</v>
      </c>
      <c r="AI281" s="2"/>
      <c r="AJ281" s="15" t="str">
        <f t="shared" si="136"/>
        <v/>
      </c>
      <c r="AK281" s="15">
        <f>IF(AJ281="",0,AVERAGE(AJ$10:AJ281))</f>
        <v>0</v>
      </c>
      <c r="AL281" s="15">
        <f>IF(AJ280="",0,VAR(AJ$10:AJ281))</f>
        <v>0</v>
      </c>
      <c r="AN281" s="2"/>
      <c r="AO281" s="15" t="str">
        <f t="shared" si="137"/>
        <v/>
      </c>
      <c r="AP281" s="15">
        <f>IF(AO281="",0,AVERAGE(AO$10:AO281))</f>
        <v>0</v>
      </c>
      <c r="AQ281" s="15">
        <f>IF(AO280="",0,VAR(AO$10:AO281))</f>
        <v>0</v>
      </c>
      <c r="AS281" s="2"/>
      <c r="AT281" s="15" t="str">
        <f t="shared" si="138"/>
        <v/>
      </c>
      <c r="AU281" s="15">
        <f>IF(AT281="",0,AVERAGE(AT$10:AT281))</f>
        <v>0</v>
      </c>
      <c r="AV281" s="15">
        <f>IF(AT280="",0,VAR(AT$10:AT281))</f>
        <v>0</v>
      </c>
      <c r="AX281" s="2"/>
      <c r="AY281" s="15" t="str">
        <f t="shared" si="139"/>
        <v/>
      </c>
      <c r="AZ281" s="15">
        <f>IF(AY281="",0,AVERAGE(AY$10:AY281))</f>
        <v>0</v>
      </c>
      <c r="BA281" s="15">
        <f>IF(AY280="",0,VAR(AY$10:AY281))</f>
        <v>0</v>
      </c>
    </row>
    <row r="282" spans="3:53" x14ac:dyDescent="0.25">
      <c r="C282" s="2"/>
      <c r="E282" s="2"/>
      <c r="F282" s="15"/>
      <c r="G282" s="15">
        <f>IF(F282="",0,AVERAGE($F$10:F282))</f>
        <v>0</v>
      </c>
      <c r="H282" s="15">
        <f>IF(F281="",0,VAR($F$10:F282))</f>
        <v>0</v>
      </c>
      <c r="J282" s="2"/>
      <c r="K282" s="15" t="str">
        <f t="shared" si="133"/>
        <v/>
      </c>
      <c r="L282" s="15">
        <f>IF(K282="",0,AVERAGE($K$10:K282))</f>
        <v>0</v>
      </c>
      <c r="M282" s="15">
        <f>IF(K281="",0,VAR($K$10:K282))</f>
        <v>0</v>
      </c>
      <c r="O282" s="2"/>
      <c r="P282" s="15" t="str">
        <f t="shared" si="134"/>
        <v/>
      </c>
      <c r="Q282" s="15">
        <f>IF(P282="",0,AVERAGE(P$10:P282))</f>
        <v>0</v>
      </c>
      <c r="R282" s="15">
        <f>IF(P281="",0,VAR(P$10:P282))</f>
        <v>0</v>
      </c>
      <c r="T282" s="2"/>
      <c r="U282" s="15" t="str">
        <f t="shared" si="140"/>
        <v/>
      </c>
      <c r="V282" s="15">
        <f>IF(U282="",0,AVERAGE(U$10:U282))</f>
        <v>0</v>
      </c>
      <c r="W282" s="15">
        <f>IF(U281="",0,VAR(U$10:U282))</f>
        <v>0</v>
      </c>
      <c r="Y282" s="2"/>
      <c r="Z282" s="15" t="str">
        <f t="shared" si="135"/>
        <v/>
      </c>
      <c r="AA282" s="15">
        <f>IF(Z282="",0,AVERAGE(Z$10:Z282))</f>
        <v>0</v>
      </c>
      <c r="AB282" s="15">
        <f>IF(Z281="",0,VAR(Z$10:Z282))</f>
        <v>0</v>
      </c>
      <c r="AD282" s="2"/>
      <c r="AE282" s="15" t="str">
        <f t="shared" si="141"/>
        <v/>
      </c>
      <c r="AF282" s="15">
        <f>IF(AE282="",0,AVERAGE(AE$10:AE282))</f>
        <v>0</v>
      </c>
      <c r="AG282" s="15">
        <f>IF(AE281="",0,VAR(AE$10:AE282))</f>
        <v>0</v>
      </c>
      <c r="AI282" s="2"/>
      <c r="AJ282" s="15" t="str">
        <f t="shared" si="136"/>
        <v/>
      </c>
      <c r="AK282" s="15">
        <f>IF(AJ282="",0,AVERAGE(AJ$10:AJ282))</f>
        <v>0</v>
      </c>
      <c r="AL282" s="15">
        <f>IF(AJ281="",0,VAR(AJ$10:AJ282))</f>
        <v>0</v>
      </c>
      <c r="AN282" s="2"/>
      <c r="AO282" s="15" t="str">
        <f t="shared" si="137"/>
        <v/>
      </c>
      <c r="AP282" s="15">
        <f>IF(AO282="",0,AVERAGE(AO$10:AO282))</f>
        <v>0</v>
      </c>
      <c r="AQ282" s="15">
        <f>IF(AO281="",0,VAR(AO$10:AO282))</f>
        <v>0</v>
      </c>
      <c r="AS282" s="2"/>
      <c r="AT282" s="15" t="str">
        <f t="shared" si="138"/>
        <v/>
      </c>
      <c r="AU282" s="15">
        <f>IF(AT282="",0,AVERAGE(AT$10:AT282))</f>
        <v>0</v>
      </c>
      <c r="AV282" s="15">
        <f>IF(AT281="",0,VAR(AT$10:AT282))</f>
        <v>0</v>
      </c>
      <c r="AX282" s="2"/>
      <c r="AY282" s="15" t="str">
        <f t="shared" si="139"/>
        <v/>
      </c>
      <c r="AZ282" s="15">
        <f>IF(AY282="",0,AVERAGE(AY$10:AY282))</f>
        <v>0</v>
      </c>
      <c r="BA282" s="15">
        <f>IF(AY281="",0,VAR(AY$10:AY282))</f>
        <v>0</v>
      </c>
    </row>
    <row r="283" spans="3:53" x14ac:dyDescent="0.25">
      <c r="C283" s="2"/>
      <c r="E283" s="2"/>
      <c r="F283" s="15" t="str">
        <f t="shared" ref="F283" si="146">IF(E283="","",+(E283-E282)/E282)</f>
        <v/>
      </c>
      <c r="G283" s="15">
        <f>IF(F283="",0,AVERAGE($F$10:F283))</f>
        <v>0</v>
      </c>
      <c r="H283" s="15">
        <f>IF(F282="",0,VAR($F$10:F283))</f>
        <v>0</v>
      </c>
      <c r="J283" s="2"/>
      <c r="K283" s="15" t="str">
        <f t="shared" si="133"/>
        <v/>
      </c>
      <c r="L283" s="15">
        <f>IF(K283="",0,AVERAGE($K$10:K283))</f>
        <v>0</v>
      </c>
      <c r="M283" s="15">
        <f>IF(K282="",0,VAR($K$10:K283))</f>
        <v>0</v>
      </c>
      <c r="O283" s="2"/>
      <c r="P283" s="15" t="str">
        <f t="shared" si="134"/>
        <v/>
      </c>
      <c r="Q283" s="15">
        <f>IF(P283="",0,AVERAGE(P$10:P283))</f>
        <v>0</v>
      </c>
      <c r="R283" s="15">
        <f>IF(P282="",0,VAR(P$10:P283))</f>
        <v>0</v>
      </c>
      <c r="T283" s="2"/>
      <c r="U283" s="15" t="str">
        <f t="shared" si="140"/>
        <v/>
      </c>
      <c r="V283" s="15">
        <f>IF(U283="",0,AVERAGE(U$10:U283))</f>
        <v>0</v>
      </c>
      <c r="W283" s="15">
        <f>IF(U282="",0,VAR(U$10:U283))</f>
        <v>0</v>
      </c>
      <c r="Y283" s="2"/>
      <c r="Z283" s="15" t="str">
        <f t="shared" si="135"/>
        <v/>
      </c>
      <c r="AA283" s="15">
        <f>IF(Z283="",0,AVERAGE(Z$10:Z283))</f>
        <v>0</v>
      </c>
      <c r="AB283" s="15">
        <f>IF(Z282="",0,VAR(Z$10:Z283))</f>
        <v>0</v>
      </c>
      <c r="AD283" s="2"/>
      <c r="AE283" s="15" t="str">
        <f t="shared" si="141"/>
        <v/>
      </c>
      <c r="AF283" s="15">
        <f>IF(AE283="",0,AVERAGE(AE$10:AE283))</f>
        <v>0</v>
      </c>
      <c r="AG283" s="15">
        <f>IF(AE282="",0,VAR(AE$10:AE283))</f>
        <v>0</v>
      </c>
      <c r="AI283" s="2"/>
      <c r="AJ283" s="15" t="str">
        <f t="shared" si="136"/>
        <v/>
      </c>
      <c r="AK283" s="15">
        <f>IF(AJ283="",0,AVERAGE(AJ$10:AJ283))</f>
        <v>0</v>
      </c>
      <c r="AL283" s="15">
        <f>IF(AJ282="",0,VAR(AJ$10:AJ283))</f>
        <v>0</v>
      </c>
      <c r="AN283" s="2"/>
      <c r="AO283" s="15" t="str">
        <f t="shared" si="137"/>
        <v/>
      </c>
      <c r="AP283" s="15">
        <f>IF(AO283="",0,AVERAGE(AO$10:AO283))</f>
        <v>0</v>
      </c>
      <c r="AQ283" s="15">
        <f>IF(AO282="",0,VAR(AO$10:AO283))</f>
        <v>0</v>
      </c>
      <c r="AS283" s="2"/>
      <c r="AT283" s="15" t="str">
        <f t="shared" si="138"/>
        <v/>
      </c>
      <c r="AU283" s="15">
        <f>IF(AT283="",0,AVERAGE(AT$10:AT283))</f>
        <v>0</v>
      </c>
      <c r="AV283" s="15">
        <f>IF(AT282="",0,VAR(AT$10:AT283))</f>
        <v>0</v>
      </c>
      <c r="AX283" s="2"/>
      <c r="AY283" s="15" t="str">
        <f t="shared" si="139"/>
        <v/>
      </c>
      <c r="AZ283" s="15">
        <f>IF(AY283="",0,AVERAGE(AY$10:AY283))</f>
        <v>0</v>
      </c>
      <c r="BA283" s="15">
        <f>IF(AY282="",0,VAR(AY$10:AY283))</f>
        <v>0</v>
      </c>
    </row>
    <row r="284" spans="3:53" x14ac:dyDescent="0.25">
      <c r="C284" s="2"/>
      <c r="E284" s="2"/>
      <c r="F284" s="15" t="str">
        <f t="shared" si="131"/>
        <v/>
      </c>
      <c r="G284" s="15">
        <f>IF(F284="",0,AVERAGE($F$10:F284))</f>
        <v>0</v>
      </c>
      <c r="H284" s="15">
        <f>IF(F283="",0,VAR($F$10:F284))</f>
        <v>0</v>
      </c>
      <c r="J284" s="2"/>
      <c r="K284" s="15" t="str">
        <f t="shared" si="133"/>
        <v/>
      </c>
      <c r="L284" s="15">
        <f>IF(K284="",0,AVERAGE($K$10:K284))</f>
        <v>0</v>
      </c>
      <c r="M284" s="15">
        <f>IF(K283="",0,VAR($K$10:K284))</f>
        <v>0</v>
      </c>
      <c r="O284" s="2"/>
      <c r="P284" s="15" t="str">
        <f t="shared" si="134"/>
        <v/>
      </c>
      <c r="Q284" s="15">
        <f>IF(P284="",0,AVERAGE(P$10:P284))</f>
        <v>0</v>
      </c>
      <c r="R284" s="15">
        <f>IF(P283="",0,VAR(P$10:P284))</f>
        <v>0</v>
      </c>
      <c r="T284" s="2"/>
      <c r="U284" s="15" t="str">
        <f t="shared" si="140"/>
        <v/>
      </c>
      <c r="V284" s="15">
        <f>IF(U284="",0,AVERAGE(U$10:U284))</f>
        <v>0</v>
      </c>
      <c r="W284" s="15">
        <f>IF(U283="",0,VAR(U$10:U284))</f>
        <v>0</v>
      </c>
      <c r="Y284" s="2"/>
      <c r="Z284" s="15" t="str">
        <f t="shared" si="135"/>
        <v/>
      </c>
      <c r="AA284" s="15">
        <f>IF(Z284="",0,AVERAGE(Z$10:Z284))</f>
        <v>0</v>
      </c>
      <c r="AB284" s="15">
        <f>IF(Z283="",0,VAR(Z$10:Z284))</f>
        <v>0</v>
      </c>
      <c r="AD284" s="2"/>
      <c r="AE284" s="15" t="str">
        <f t="shared" si="141"/>
        <v/>
      </c>
      <c r="AF284" s="15">
        <f>IF(AE284="",0,AVERAGE(AE$10:AE284))</f>
        <v>0</v>
      </c>
      <c r="AG284" s="15">
        <f>IF(AE283="",0,VAR(AE$10:AE284))</f>
        <v>0</v>
      </c>
      <c r="AI284" s="2"/>
      <c r="AJ284" s="15" t="str">
        <f t="shared" si="136"/>
        <v/>
      </c>
      <c r="AK284" s="15">
        <f>IF(AJ284="",0,AVERAGE(AJ$10:AJ284))</f>
        <v>0</v>
      </c>
      <c r="AL284" s="15">
        <f>IF(AJ283="",0,VAR(AJ$10:AJ284))</f>
        <v>0</v>
      </c>
      <c r="AN284" s="2"/>
      <c r="AO284" s="15" t="str">
        <f t="shared" si="137"/>
        <v/>
      </c>
      <c r="AP284" s="15">
        <f>IF(AO284="",0,AVERAGE(AO$10:AO284))</f>
        <v>0</v>
      </c>
      <c r="AQ284" s="15">
        <f>IF(AO283="",0,VAR(AO$10:AO284))</f>
        <v>0</v>
      </c>
      <c r="AS284" s="2"/>
      <c r="AT284" s="15" t="str">
        <f t="shared" si="138"/>
        <v/>
      </c>
      <c r="AU284" s="15">
        <f>IF(AT284="",0,AVERAGE(AT$10:AT284))</f>
        <v>0</v>
      </c>
      <c r="AV284" s="15">
        <f>IF(AT283="",0,VAR(AT$10:AT284))</f>
        <v>0</v>
      </c>
      <c r="AX284" s="2"/>
      <c r="AY284" s="15" t="str">
        <f t="shared" si="139"/>
        <v/>
      </c>
      <c r="AZ284" s="15">
        <f>IF(AY284="",0,AVERAGE(AY$10:AY284))</f>
        <v>0</v>
      </c>
      <c r="BA284" s="15">
        <f>IF(AY283="",0,VAR(AY$10:AY284))</f>
        <v>0</v>
      </c>
    </row>
    <row r="285" spans="3:53" x14ac:dyDescent="0.25">
      <c r="C285" s="2"/>
      <c r="E285" s="2"/>
      <c r="F285" s="15"/>
      <c r="G285" s="15">
        <f>IF(F285="",0,AVERAGE($F$10:F285))</f>
        <v>0</v>
      </c>
      <c r="H285" s="15">
        <f>IF(F284="",0,VAR($F$10:F285))</f>
        <v>0</v>
      </c>
      <c r="J285" s="2"/>
      <c r="K285" s="15" t="str">
        <f t="shared" si="133"/>
        <v/>
      </c>
      <c r="L285" s="15">
        <f>IF(K285="",0,AVERAGE($K$10:K285))</f>
        <v>0</v>
      </c>
      <c r="M285" s="15">
        <f>IF(K284="",0,VAR($K$10:K285))</f>
        <v>0</v>
      </c>
      <c r="O285" s="2"/>
      <c r="P285" s="15" t="str">
        <f t="shared" si="134"/>
        <v/>
      </c>
      <c r="Q285" s="15">
        <f>IF(P285="",0,AVERAGE(P$10:P285))</f>
        <v>0</v>
      </c>
      <c r="R285" s="15">
        <f>IF(P284="",0,VAR(P$10:P285))</f>
        <v>0</v>
      </c>
      <c r="T285" s="2"/>
      <c r="U285" s="15" t="str">
        <f t="shared" si="140"/>
        <v/>
      </c>
      <c r="V285" s="15">
        <f>IF(U285="",0,AVERAGE(U$10:U285))</f>
        <v>0</v>
      </c>
      <c r="W285" s="15">
        <f>IF(U284="",0,VAR(U$10:U285))</f>
        <v>0</v>
      </c>
      <c r="Y285" s="2"/>
      <c r="Z285" s="15" t="str">
        <f t="shared" si="135"/>
        <v/>
      </c>
      <c r="AA285" s="15">
        <f>IF(Z285="",0,AVERAGE(Z$10:Z285))</f>
        <v>0</v>
      </c>
      <c r="AB285" s="15">
        <f>IF(Z284="",0,VAR(Z$10:Z285))</f>
        <v>0</v>
      </c>
      <c r="AD285" s="2"/>
      <c r="AE285" s="15" t="str">
        <f t="shared" si="141"/>
        <v/>
      </c>
      <c r="AF285" s="15">
        <f>IF(AE285="",0,AVERAGE(AE$10:AE285))</f>
        <v>0</v>
      </c>
      <c r="AG285" s="15">
        <f>IF(AE284="",0,VAR(AE$10:AE285))</f>
        <v>0</v>
      </c>
      <c r="AI285" s="2"/>
      <c r="AJ285" s="15" t="str">
        <f t="shared" si="136"/>
        <v/>
      </c>
      <c r="AK285" s="15">
        <f>IF(AJ285="",0,AVERAGE(AJ$10:AJ285))</f>
        <v>0</v>
      </c>
      <c r="AL285" s="15">
        <f>IF(AJ284="",0,VAR(AJ$10:AJ285))</f>
        <v>0</v>
      </c>
      <c r="AN285" s="2"/>
      <c r="AO285" s="15" t="str">
        <f t="shared" si="137"/>
        <v/>
      </c>
      <c r="AP285" s="15">
        <f>IF(AO285="",0,AVERAGE(AO$10:AO285))</f>
        <v>0</v>
      </c>
      <c r="AQ285" s="15">
        <f>IF(AO284="",0,VAR(AO$10:AO285))</f>
        <v>0</v>
      </c>
      <c r="AS285" s="2"/>
      <c r="AT285" s="15" t="str">
        <f t="shared" si="138"/>
        <v/>
      </c>
      <c r="AU285" s="15">
        <f>IF(AT285="",0,AVERAGE(AT$10:AT285))</f>
        <v>0</v>
      </c>
      <c r="AV285" s="15">
        <f>IF(AT284="",0,VAR(AT$10:AT285))</f>
        <v>0</v>
      </c>
      <c r="AX285" s="2"/>
      <c r="AY285" s="15" t="str">
        <f t="shared" si="139"/>
        <v/>
      </c>
      <c r="AZ285" s="15">
        <f>IF(AY285="",0,AVERAGE(AY$10:AY285))</f>
        <v>0</v>
      </c>
      <c r="BA285" s="15">
        <f>IF(AY284="",0,VAR(AY$10:AY285))</f>
        <v>0</v>
      </c>
    </row>
    <row r="286" spans="3:53" x14ac:dyDescent="0.25">
      <c r="C286" s="2"/>
      <c r="E286" s="2"/>
      <c r="F286" s="15" t="str">
        <f t="shared" ref="F286" si="147">IF(E286="","",+(E286-E285)/E285)</f>
        <v/>
      </c>
      <c r="G286" s="15">
        <f>IF(F286="",0,AVERAGE($F$10:F286))</f>
        <v>0</v>
      </c>
      <c r="H286" s="15">
        <f>IF(F285="",0,VAR($F$10:F286))</f>
        <v>0</v>
      </c>
      <c r="J286" s="2"/>
      <c r="K286" s="15" t="str">
        <f t="shared" si="133"/>
        <v/>
      </c>
      <c r="L286" s="15">
        <f>IF(K286="",0,AVERAGE($K$10:K286))</f>
        <v>0</v>
      </c>
      <c r="M286" s="15">
        <f>IF(K285="",0,VAR($K$10:K286))</f>
        <v>0</v>
      </c>
      <c r="O286" s="2"/>
      <c r="P286" s="15" t="str">
        <f t="shared" si="134"/>
        <v/>
      </c>
      <c r="Q286" s="15">
        <f>IF(P286="",0,AVERAGE(P$10:P286))</f>
        <v>0</v>
      </c>
      <c r="R286" s="15">
        <f>IF(P285="",0,VAR(P$10:P286))</f>
        <v>0</v>
      </c>
      <c r="T286" s="2"/>
      <c r="U286" s="15" t="str">
        <f t="shared" si="140"/>
        <v/>
      </c>
      <c r="V286" s="15">
        <f>IF(U286="",0,AVERAGE(U$10:U286))</f>
        <v>0</v>
      </c>
      <c r="W286" s="15">
        <f>IF(U285="",0,VAR(U$10:U286))</f>
        <v>0</v>
      </c>
      <c r="Y286" s="2"/>
      <c r="Z286" s="15" t="str">
        <f t="shared" si="135"/>
        <v/>
      </c>
      <c r="AA286" s="15">
        <f>IF(Z286="",0,AVERAGE(Z$10:Z286))</f>
        <v>0</v>
      </c>
      <c r="AB286" s="15">
        <f>IF(Z285="",0,VAR(Z$10:Z286))</f>
        <v>0</v>
      </c>
      <c r="AD286" s="2"/>
      <c r="AE286" s="15" t="str">
        <f t="shared" si="141"/>
        <v/>
      </c>
      <c r="AF286" s="15">
        <f>IF(AE286="",0,AVERAGE(AE$10:AE286))</f>
        <v>0</v>
      </c>
      <c r="AG286" s="15">
        <f>IF(AE285="",0,VAR(AE$10:AE286))</f>
        <v>0</v>
      </c>
      <c r="AI286" s="2"/>
      <c r="AJ286" s="15" t="str">
        <f t="shared" si="136"/>
        <v/>
      </c>
      <c r="AK286" s="15">
        <f>IF(AJ286="",0,AVERAGE(AJ$10:AJ286))</f>
        <v>0</v>
      </c>
      <c r="AL286" s="15">
        <f>IF(AJ285="",0,VAR(AJ$10:AJ286))</f>
        <v>0</v>
      </c>
      <c r="AN286" s="2"/>
      <c r="AO286" s="15" t="str">
        <f t="shared" si="137"/>
        <v/>
      </c>
      <c r="AP286" s="15">
        <f>IF(AO286="",0,AVERAGE(AO$10:AO286))</f>
        <v>0</v>
      </c>
      <c r="AQ286" s="15">
        <f>IF(AO285="",0,VAR(AO$10:AO286))</f>
        <v>0</v>
      </c>
      <c r="AS286" s="2"/>
      <c r="AT286" s="15" t="str">
        <f t="shared" si="138"/>
        <v/>
      </c>
      <c r="AU286" s="15">
        <f>IF(AT286="",0,AVERAGE(AT$10:AT286))</f>
        <v>0</v>
      </c>
      <c r="AV286" s="15">
        <f>IF(AT285="",0,VAR(AT$10:AT286))</f>
        <v>0</v>
      </c>
      <c r="AX286" s="2"/>
      <c r="AY286" s="15" t="str">
        <f t="shared" si="139"/>
        <v/>
      </c>
      <c r="AZ286" s="15">
        <f>IF(AY286="",0,AVERAGE(AY$10:AY286))</f>
        <v>0</v>
      </c>
      <c r="BA286" s="15">
        <f>IF(AY285="",0,VAR(AY$10:AY286))</f>
        <v>0</v>
      </c>
    </row>
    <row r="287" spans="3:53" x14ac:dyDescent="0.25">
      <c r="C287" s="2"/>
      <c r="E287" s="2"/>
      <c r="F287" s="15" t="str">
        <f t="shared" si="131"/>
        <v/>
      </c>
      <c r="G287" s="15">
        <f>IF(F287="",0,AVERAGE($F$10:F287))</f>
        <v>0</v>
      </c>
      <c r="H287" s="15">
        <f>IF(F286="",0,VAR($F$10:F287))</f>
        <v>0</v>
      </c>
      <c r="J287" s="2"/>
      <c r="K287" s="15" t="str">
        <f t="shared" si="133"/>
        <v/>
      </c>
      <c r="L287" s="15">
        <f>IF(K287="",0,AVERAGE($K$10:K287))</f>
        <v>0</v>
      </c>
      <c r="M287" s="15">
        <f>IF(K286="",0,VAR($K$10:K287))</f>
        <v>0</v>
      </c>
      <c r="O287" s="2"/>
      <c r="P287" s="15" t="str">
        <f t="shared" si="134"/>
        <v/>
      </c>
      <c r="Q287" s="15">
        <f>IF(P287="",0,AVERAGE(P$10:P287))</f>
        <v>0</v>
      </c>
      <c r="R287" s="15">
        <f>IF(P286="",0,VAR(P$10:P287))</f>
        <v>0</v>
      </c>
      <c r="T287" s="2"/>
      <c r="U287" s="15" t="str">
        <f t="shared" si="140"/>
        <v/>
      </c>
      <c r="V287" s="15">
        <f>IF(U287="",0,AVERAGE(U$10:U287))</f>
        <v>0</v>
      </c>
      <c r="W287" s="15">
        <f>IF(U286="",0,VAR(U$10:U287))</f>
        <v>0</v>
      </c>
      <c r="Y287" s="2"/>
      <c r="Z287" s="15" t="str">
        <f t="shared" si="135"/>
        <v/>
      </c>
      <c r="AA287" s="15">
        <f>IF(Z287="",0,AVERAGE(Z$10:Z287))</f>
        <v>0</v>
      </c>
      <c r="AB287" s="15">
        <f>IF(Z286="",0,VAR(Z$10:Z287))</f>
        <v>0</v>
      </c>
      <c r="AD287" s="2"/>
      <c r="AE287" s="15" t="str">
        <f t="shared" si="141"/>
        <v/>
      </c>
      <c r="AF287" s="15">
        <f>IF(AE287="",0,AVERAGE(AE$10:AE287))</f>
        <v>0</v>
      </c>
      <c r="AG287" s="15">
        <f>IF(AE286="",0,VAR(AE$10:AE287))</f>
        <v>0</v>
      </c>
      <c r="AI287" s="2"/>
      <c r="AJ287" s="15" t="str">
        <f t="shared" si="136"/>
        <v/>
      </c>
      <c r="AK287" s="15">
        <f>IF(AJ287="",0,AVERAGE(AJ$10:AJ287))</f>
        <v>0</v>
      </c>
      <c r="AL287" s="15">
        <f>IF(AJ286="",0,VAR(AJ$10:AJ287))</f>
        <v>0</v>
      </c>
      <c r="AN287" s="2"/>
      <c r="AO287" s="15" t="str">
        <f t="shared" si="137"/>
        <v/>
      </c>
      <c r="AP287" s="15">
        <f>IF(AO287="",0,AVERAGE(AO$10:AO287))</f>
        <v>0</v>
      </c>
      <c r="AQ287" s="15">
        <f>IF(AO286="",0,VAR(AO$10:AO287))</f>
        <v>0</v>
      </c>
      <c r="AS287" s="2"/>
      <c r="AT287" s="15" t="str">
        <f t="shared" si="138"/>
        <v/>
      </c>
      <c r="AU287" s="15">
        <f>IF(AT287="",0,AVERAGE(AT$10:AT287))</f>
        <v>0</v>
      </c>
      <c r="AV287" s="15">
        <f>IF(AT286="",0,VAR(AT$10:AT287))</f>
        <v>0</v>
      </c>
      <c r="AX287" s="2"/>
      <c r="AY287" s="15" t="str">
        <f t="shared" si="139"/>
        <v/>
      </c>
      <c r="AZ287" s="15">
        <f>IF(AY287="",0,AVERAGE(AY$10:AY287))</f>
        <v>0</v>
      </c>
      <c r="BA287" s="15">
        <f>IF(AY286="",0,VAR(AY$10:AY287))</f>
        <v>0</v>
      </c>
    </row>
    <row r="288" spans="3:53" x14ac:dyDescent="0.25">
      <c r="C288" s="2"/>
      <c r="E288" s="2"/>
      <c r="F288" s="15"/>
      <c r="G288" s="15">
        <f>IF(F288="",0,AVERAGE($F$10:F288))</f>
        <v>0</v>
      </c>
      <c r="H288" s="15">
        <f>IF(F287="",0,VAR($F$10:F288))</f>
        <v>0</v>
      </c>
      <c r="J288" s="2"/>
      <c r="K288" s="15" t="str">
        <f t="shared" si="133"/>
        <v/>
      </c>
      <c r="L288" s="15">
        <f>IF(K288="",0,AVERAGE($K$10:K288))</f>
        <v>0</v>
      </c>
      <c r="M288" s="15">
        <f>IF(K287="",0,VAR($K$10:K288))</f>
        <v>0</v>
      </c>
      <c r="O288" s="2"/>
      <c r="P288" s="15" t="str">
        <f t="shared" si="134"/>
        <v/>
      </c>
      <c r="Q288" s="15">
        <f>IF(P288="",0,AVERAGE(P$10:P288))</f>
        <v>0</v>
      </c>
      <c r="R288" s="15">
        <f>IF(P287="",0,VAR(P$10:P288))</f>
        <v>0</v>
      </c>
      <c r="T288" s="2"/>
      <c r="U288" s="15" t="str">
        <f t="shared" si="140"/>
        <v/>
      </c>
      <c r="V288" s="15">
        <f>IF(U288="",0,AVERAGE(U$10:U288))</f>
        <v>0</v>
      </c>
      <c r="W288" s="15">
        <f>IF(U287="",0,VAR(U$10:U288))</f>
        <v>0</v>
      </c>
      <c r="Y288" s="2"/>
      <c r="Z288" s="15" t="str">
        <f t="shared" si="135"/>
        <v/>
      </c>
      <c r="AA288" s="15">
        <f>IF(Z288="",0,AVERAGE(Z$10:Z288))</f>
        <v>0</v>
      </c>
      <c r="AB288" s="15">
        <f>IF(Z287="",0,VAR(Z$10:Z288))</f>
        <v>0</v>
      </c>
      <c r="AD288" s="2"/>
      <c r="AE288" s="15" t="str">
        <f t="shared" si="141"/>
        <v/>
      </c>
      <c r="AF288" s="15">
        <f>IF(AE288="",0,AVERAGE(AE$10:AE288))</f>
        <v>0</v>
      </c>
      <c r="AG288" s="15">
        <f>IF(AE287="",0,VAR(AE$10:AE288))</f>
        <v>0</v>
      </c>
      <c r="AI288" s="2"/>
      <c r="AJ288" s="15" t="str">
        <f t="shared" si="136"/>
        <v/>
      </c>
      <c r="AK288" s="15">
        <f>IF(AJ288="",0,AVERAGE(AJ$10:AJ288))</f>
        <v>0</v>
      </c>
      <c r="AL288" s="15">
        <f>IF(AJ287="",0,VAR(AJ$10:AJ288))</f>
        <v>0</v>
      </c>
      <c r="AN288" s="2"/>
      <c r="AO288" s="15" t="str">
        <f t="shared" si="137"/>
        <v/>
      </c>
      <c r="AP288" s="15">
        <f>IF(AO288="",0,AVERAGE(AO$10:AO288))</f>
        <v>0</v>
      </c>
      <c r="AQ288" s="15">
        <f>IF(AO287="",0,VAR(AO$10:AO288))</f>
        <v>0</v>
      </c>
      <c r="AS288" s="2"/>
      <c r="AT288" s="15" t="str">
        <f t="shared" si="138"/>
        <v/>
      </c>
      <c r="AU288" s="15">
        <f>IF(AT288="",0,AVERAGE(AT$10:AT288))</f>
        <v>0</v>
      </c>
      <c r="AV288" s="15">
        <f>IF(AT287="",0,VAR(AT$10:AT288))</f>
        <v>0</v>
      </c>
      <c r="AX288" s="2"/>
      <c r="AY288" s="15" t="str">
        <f t="shared" si="139"/>
        <v/>
      </c>
      <c r="AZ288" s="15">
        <f>IF(AY288="",0,AVERAGE(AY$10:AY288))</f>
        <v>0</v>
      </c>
      <c r="BA288" s="15">
        <f>IF(AY287="",0,VAR(AY$10:AY288))</f>
        <v>0</v>
      </c>
    </row>
    <row r="289" spans="3:53" x14ac:dyDescent="0.25">
      <c r="C289" s="2"/>
      <c r="E289" s="2"/>
      <c r="F289" s="15" t="str">
        <f t="shared" ref="F289" si="148">IF(E289="","",+(E289-E288)/E288)</f>
        <v/>
      </c>
      <c r="G289" s="15">
        <f>IF(F289="",0,AVERAGE($F$10:F289))</f>
        <v>0</v>
      </c>
      <c r="H289" s="15">
        <f>IF(F288="",0,VAR($F$10:F289))</f>
        <v>0</v>
      </c>
      <c r="J289" s="2"/>
      <c r="K289" s="15" t="str">
        <f t="shared" si="133"/>
        <v/>
      </c>
      <c r="L289" s="15">
        <f>IF(K289="",0,AVERAGE($K$10:K289))</f>
        <v>0</v>
      </c>
      <c r="M289" s="15">
        <f>IF(K288="",0,VAR($K$10:K289))</f>
        <v>0</v>
      </c>
      <c r="O289" s="2"/>
      <c r="P289" s="15" t="str">
        <f t="shared" si="134"/>
        <v/>
      </c>
      <c r="Q289" s="15">
        <f>IF(P289="",0,AVERAGE(P$10:P289))</f>
        <v>0</v>
      </c>
      <c r="R289" s="15">
        <f>IF(P288="",0,VAR(P$10:P289))</f>
        <v>0</v>
      </c>
      <c r="T289" s="2"/>
      <c r="U289" s="15" t="str">
        <f t="shared" si="140"/>
        <v/>
      </c>
      <c r="V289" s="15">
        <f>IF(U289="",0,AVERAGE(U$10:U289))</f>
        <v>0</v>
      </c>
      <c r="W289" s="15">
        <f>IF(U288="",0,VAR(U$10:U289))</f>
        <v>0</v>
      </c>
      <c r="Y289" s="2"/>
      <c r="Z289" s="15" t="str">
        <f t="shared" si="135"/>
        <v/>
      </c>
      <c r="AA289" s="15">
        <f>IF(Z289="",0,AVERAGE(Z$10:Z289))</f>
        <v>0</v>
      </c>
      <c r="AB289" s="15">
        <f>IF(Z288="",0,VAR(Z$10:Z289))</f>
        <v>0</v>
      </c>
      <c r="AD289" s="2"/>
      <c r="AE289" s="15" t="str">
        <f t="shared" si="141"/>
        <v/>
      </c>
      <c r="AF289" s="15">
        <f>IF(AE289="",0,AVERAGE(AE$10:AE289))</f>
        <v>0</v>
      </c>
      <c r="AG289" s="15">
        <f>IF(AE288="",0,VAR(AE$10:AE289))</f>
        <v>0</v>
      </c>
      <c r="AI289" s="2"/>
      <c r="AJ289" s="15" t="str">
        <f t="shared" si="136"/>
        <v/>
      </c>
      <c r="AK289" s="15">
        <f>IF(AJ289="",0,AVERAGE(AJ$10:AJ289))</f>
        <v>0</v>
      </c>
      <c r="AL289" s="15">
        <f>IF(AJ288="",0,VAR(AJ$10:AJ289))</f>
        <v>0</v>
      </c>
      <c r="AN289" s="2"/>
      <c r="AO289" s="15" t="str">
        <f t="shared" si="137"/>
        <v/>
      </c>
      <c r="AP289" s="15">
        <f>IF(AO289="",0,AVERAGE(AO$10:AO289))</f>
        <v>0</v>
      </c>
      <c r="AQ289" s="15">
        <f>IF(AO288="",0,VAR(AO$10:AO289))</f>
        <v>0</v>
      </c>
      <c r="AS289" s="2"/>
      <c r="AT289" s="15" t="str">
        <f t="shared" si="138"/>
        <v/>
      </c>
      <c r="AU289" s="15">
        <f>IF(AT289="",0,AVERAGE(AT$10:AT289))</f>
        <v>0</v>
      </c>
      <c r="AV289" s="15">
        <f>IF(AT288="",0,VAR(AT$10:AT289))</f>
        <v>0</v>
      </c>
      <c r="AX289" s="2"/>
      <c r="AY289" s="15" t="str">
        <f t="shared" si="139"/>
        <v/>
      </c>
      <c r="AZ289" s="15">
        <f>IF(AY289="",0,AVERAGE(AY$10:AY289))</f>
        <v>0</v>
      </c>
      <c r="BA289" s="15">
        <f>IF(AY288="",0,VAR(AY$10:AY289))</f>
        <v>0</v>
      </c>
    </row>
    <row r="290" spans="3:53" x14ac:dyDescent="0.25">
      <c r="C290" s="2"/>
      <c r="E290" s="2"/>
      <c r="F290" s="15" t="str">
        <f t="shared" si="131"/>
        <v/>
      </c>
      <c r="G290" s="15">
        <f>IF(F290="",0,AVERAGE($F$10:F290))</f>
        <v>0</v>
      </c>
      <c r="H290" s="15">
        <f>IF(F289="",0,VAR($F$10:F290))</f>
        <v>0</v>
      </c>
      <c r="J290" s="2"/>
      <c r="K290" s="15" t="str">
        <f t="shared" si="133"/>
        <v/>
      </c>
      <c r="L290" s="15">
        <f>IF(K290="",0,AVERAGE($K$10:K290))</f>
        <v>0</v>
      </c>
      <c r="M290" s="15">
        <f>IF(K289="",0,VAR($K$10:K290))</f>
        <v>0</v>
      </c>
      <c r="O290" s="2"/>
      <c r="P290" s="15" t="str">
        <f t="shared" si="134"/>
        <v/>
      </c>
      <c r="Q290" s="15">
        <f>IF(P290="",0,AVERAGE(P$10:P290))</f>
        <v>0</v>
      </c>
      <c r="R290" s="15">
        <f>IF(P289="",0,VAR(P$10:P290))</f>
        <v>0</v>
      </c>
      <c r="T290" s="2"/>
      <c r="U290" s="15" t="str">
        <f t="shared" si="140"/>
        <v/>
      </c>
      <c r="V290" s="15">
        <f>IF(U290="",0,AVERAGE(U$10:U290))</f>
        <v>0</v>
      </c>
      <c r="W290" s="15">
        <f>IF(U289="",0,VAR(U$10:U290))</f>
        <v>0</v>
      </c>
      <c r="Y290" s="2"/>
      <c r="Z290" s="15" t="str">
        <f t="shared" si="135"/>
        <v/>
      </c>
      <c r="AA290" s="15">
        <f>IF(Z290="",0,AVERAGE(Z$10:Z290))</f>
        <v>0</v>
      </c>
      <c r="AB290" s="15">
        <f>IF(Z289="",0,VAR(Z$10:Z290))</f>
        <v>0</v>
      </c>
      <c r="AD290" s="2"/>
      <c r="AE290" s="15" t="str">
        <f t="shared" si="141"/>
        <v/>
      </c>
      <c r="AF290" s="15">
        <f>IF(AE290="",0,AVERAGE(AE$10:AE290))</f>
        <v>0</v>
      </c>
      <c r="AG290" s="15">
        <f>IF(AE289="",0,VAR(AE$10:AE290))</f>
        <v>0</v>
      </c>
      <c r="AI290" s="2"/>
      <c r="AJ290" s="15" t="str">
        <f t="shared" si="136"/>
        <v/>
      </c>
      <c r="AK290" s="15">
        <f>IF(AJ290="",0,AVERAGE(AJ$10:AJ290))</f>
        <v>0</v>
      </c>
      <c r="AL290" s="15">
        <f>IF(AJ289="",0,VAR(AJ$10:AJ290))</f>
        <v>0</v>
      </c>
      <c r="AN290" s="2"/>
      <c r="AO290" s="15" t="str">
        <f t="shared" si="137"/>
        <v/>
      </c>
      <c r="AP290" s="15">
        <f>IF(AO290="",0,AVERAGE(AO$10:AO290))</f>
        <v>0</v>
      </c>
      <c r="AQ290" s="15">
        <f>IF(AO289="",0,VAR(AO$10:AO290))</f>
        <v>0</v>
      </c>
      <c r="AS290" s="2"/>
      <c r="AT290" s="15" t="str">
        <f t="shared" si="138"/>
        <v/>
      </c>
      <c r="AU290" s="15">
        <f>IF(AT290="",0,AVERAGE(AT$10:AT290))</f>
        <v>0</v>
      </c>
      <c r="AV290" s="15">
        <f>IF(AT289="",0,VAR(AT$10:AT290))</f>
        <v>0</v>
      </c>
      <c r="AX290" s="2"/>
      <c r="AY290" s="15" t="str">
        <f t="shared" si="139"/>
        <v/>
      </c>
      <c r="AZ290" s="15">
        <f>IF(AY290="",0,AVERAGE(AY$10:AY290))</f>
        <v>0</v>
      </c>
      <c r="BA290" s="15">
        <f>IF(AY289="",0,VAR(AY$10:AY290))</f>
        <v>0</v>
      </c>
    </row>
    <row r="291" spans="3:53" x14ac:dyDescent="0.25">
      <c r="C291" s="2"/>
      <c r="E291" s="2"/>
      <c r="F291" s="15"/>
      <c r="G291" s="15">
        <f>IF(F291="",0,AVERAGE($F$10:F291))</f>
        <v>0</v>
      </c>
      <c r="H291" s="15">
        <f>IF(F290="",0,VAR($F$10:F291))</f>
        <v>0</v>
      </c>
      <c r="J291" s="2"/>
      <c r="K291" s="15" t="str">
        <f t="shared" si="133"/>
        <v/>
      </c>
      <c r="L291" s="15">
        <f>IF(K291="",0,AVERAGE($K$10:K291))</f>
        <v>0</v>
      </c>
      <c r="M291" s="15">
        <f>IF(K290="",0,VAR($K$10:K291))</f>
        <v>0</v>
      </c>
      <c r="O291" s="2"/>
      <c r="P291" s="15" t="str">
        <f t="shared" si="134"/>
        <v/>
      </c>
      <c r="Q291" s="15">
        <f>IF(P291="",0,AVERAGE(P$10:P291))</f>
        <v>0</v>
      </c>
      <c r="R291" s="15">
        <f>IF(P290="",0,VAR(P$10:P291))</f>
        <v>0</v>
      </c>
      <c r="T291" s="2"/>
      <c r="U291" s="15" t="str">
        <f t="shared" si="140"/>
        <v/>
      </c>
      <c r="V291" s="15">
        <f>IF(U291="",0,AVERAGE(U$10:U291))</f>
        <v>0</v>
      </c>
      <c r="W291" s="15">
        <f>IF(U290="",0,VAR(U$10:U291))</f>
        <v>0</v>
      </c>
      <c r="Y291" s="2"/>
      <c r="Z291" s="15" t="str">
        <f t="shared" si="135"/>
        <v/>
      </c>
      <c r="AA291" s="15">
        <f>IF(Z291="",0,AVERAGE(Z$10:Z291))</f>
        <v>0</v>
      </c>
      <c r="AB291" s="15">
        <f>IF(Z290="",0,VAR(Z$10:Z291))</f>
        <v>0</v>
      </c>
      <c r="AD291" s="2"/>
      <c r="AE291" s="15" t="str">
        <f t="shared" si="141"/>
        <v/>
      </c>
      <c r="AF291" s="15">
        <f>IF(AE291="",0,AVERAGE(AE$10:AE291))</f>
        <v>0</v>
      </c>
      <c r="AG291" s="15">
        <f>IF(AE290="",0,VAR(AE$10:AE291))</f>
        <v>0</v>
      </c>
      <c r="AI291" s="2"/>
      <c r="AJ291" s="15" t="str">
        <f t="shared" si="136"/>
        <v/>
      </c>
      <c r="AK291" s="15">
        <f>IF(AJ291="",0,AVERAGE(AJ$10:AJ291))</f>
        <v>0</v>
      </c>
      <c r="AL291" s="15">
        <f>IF(AJ290="",0,VAR(AJ$10:AJ291))</f>
        <v>0</v>
      </c>
      <c r="AN291" s="2"/>
      <c r="AO291" s="15" t="str">
        <f t="shared" si="137"/>
        <v/>
      </c>
      <c r="AP291" s="15">
        <f>IF(AO291="",0,AVERAGE(AO$10:AO291))</f>
        <v>0</v>
      </c>
      <c r="AQ291" s="15">
        <f>IF(AO290="",0,VAR(AO$10:AO291))</f>
        <v>0</v>
      </c>
      <c r="AS291" s="2"/>
      <c r="AT291" s="15" t="str">
        <f t="shared" si="138"/>
        <v/>
      </c>
      <c r="AU291" s="15">
        <f>IF(AT291="",0,AVERAGE(AT$10:AT291))</f>
        <v>0</v>
      </c>
      <c r="AV291" s="15">
        <f>IF(AT290="",0,VAR(AT$10:AT291))</f>
        <v>0</v>
      </c>
      <c r="AX291" s="2"/>
      <c r="AY291" s="15" t="str">
        <f t="shared" si="139"/>
        <v/>
      </c>
      <c r="AZ291" s="15">
        <f>IF(AY291="",0,AVERAGE(AY$10:AY291))</f>
        <v>0</v>
      </c>
      <c r="BA291" s="15">
        <f>IF(AY290="",0,VAR(AY$10:AY291))</f>
        <v>0</v>
      </c>
    </row>
    <row r="292" spans="3:53" x14ac:dyDescent="0.25">
      <c r="C292" s="2"/>
      <c r="E292" s="2"/>
      <c r="F292" s="15" t="str">
        <f t="shared" ref="F292" si="149">IF(E292="","",+(E292-E291)/E291)</f>
        <v/>
      </c>
      <c r="G292" s="15">
        <f>IF(F292="",0,AVERAGE($F$10:F292))</f>
        <v>0</v>
      </c>
      <c r="H292" s="15">
        <f>IF(F291="",0,VAR($F$10:F292))</f>
        <v>0</v>
      </c>
      <c r="J292" s="2"/>
      <c r="K292" s="15" t="str">
        <f t="shared" si="133"/>
        <v/>
      </c>
      <c r="L292" s="15">
        <f>IF(K292="",0,AVERAGE($K$10:K292))</f>
        <v>0</v>
      </c>
      <c r="M292" s="15">
        <f>IF(K291="",0,VAR($K$10:K292))</f>
        <v>0</v>
      </c>
      <c r="O292" s="2"/>
      <c r="P292" s="15" t="str">
        <f t="shared" si="134"/>
        <v/>
      </c>
      <c r="Q292" s="15">
        <f>IF(P292="",0,AVERAGE(P$10:P292))</f>
        <v>0</v>
      </c>
      <c r="R292" s="15">
        <f>IF(P291="",0,VAR(P$10:P292))</f>
        <v>0</v>
      </c>
      <c r="T292" s="2"/>
      <c r="U292" s="15" t="str">
        <f t="shared" si="140"/>
        <v/>
      </c>
      <c r="V292" s="15">
        <f>IF(U292="",0,AVERAGE(U$10:U292))</f>
        <v>0</v>
      </c>
      <c r="W292" s="15">
        <f>IF(U291="",0,VAR(U$10:U292))</f>
        <v>0</v>
      </c>
      <c r="Y292" s="2"/>
      <c r="Z292" s="15" t="str">
        <f t="shared" si="135"/>
        <v/>
      </c>
      <c r="AA292" s="15">
        <f>IF(Z292="",0,AVERAGE(Z$10:Z292))</f>
        <v>0</v>
      </c>
      <c r="AB292" s="15">
        <f>IF(Z291="",0,VAR(Z$10:Z292))</f>
        <v>0</v>
      </c>
      <c r="AD292" s="2"/>
      <c r="AE292" s="15" t="str">
        <f t="shared" si="141"/>
        <v/>
      </c>
      <c r="AF292" s="15">
        <f>IF(AE292="",0,AVERAGE(AE$10:AE292))</f>
        <v>0</v>
      </c>
      <c r="AG292" s="15">
        <f>IF(AE291="",0,VAR(AE$10:AE292))</f>
        <v>0</v>
      </c>
      <c r="AI292" s="2"/>
      <c r="AJ292" s="15" t="str">
        <f t="shared" si="136"/>
        <v/>
      </c>
      <c r="AK292" s="15">
        <f>IF(AJ292="",0,AVERAGE(AJ$10:AJ292))</f>
        <v>0</v>
      </c>
      <c r="AL292" s="15">
        <f>IF(AJ291="",0,VAR(AJ$10:AJ292))</f>
        <v>0</v>
      </c>
      <c r="AN292" s="2"/>
      <c r="AO292" s="15" t="str">
        <f t="shared" si="137"/>
        <v/>
      </c>
      <c r="AP292" s="15">
        <f>IF(AO292="",0,AVERAGE(AO$10:AO292))</f>
        <v>0</v>
      </c>
      <c r="AQ292" s="15">
        <f>IF(AO291="",0,VAR(AO$10:AO292))</f>
        <v>0</v>
      </c>
      <c r="AS292" s="2"/>
      <c r="AT292" s="15" t="str">
        <f t="shared" si="138"/>
        <v/>
      </c>
      <c r="AU292" s="15">
        <f>IF(AT292="",0,AVERAGE(AT$10:AT292))</f>
        <v>0</v>
      </c>
      <c r="AV292" s="15">
        <f>IF(AT291="",0,VAR(AT$10:AT292))</f>
        <v>0</v>
      </c>
      <c r="AX292" s="2"/>
      <c r="AY292" s="15" t="str">
        <f t="shared" si="139"/>
        <v/>
      </c>
      <c r="AZ292" s="15">
        <f>IF(AY292="",0,AVERAGE(AY$10:AY292))</f>
        <v>0</v>
      </c>
      <c r="BA292" s="15">
        <f>IF(AY291="",0,VAR(AY$10:AY292))</f>
        <v>0</v>
      </c>
    </row>
    <row r="293" spans="3:53" x14ac:dyDescent="0.25">
      <c r="C293" s="2"/>
      <c r="E293" s="2"/>
      <c r="F293" s="15" t="str">
        <f t="shared" si="131"/>
        <v/>
      </c>
      <c r="G293" s="15">
        <f>IF(F293="",0,AVERAGE($F$10:F293))</f>
        <v>0</v>
      </c>
      <c r="H293" s="15">
        <f>IF(F292="",0,VAR($F$10:F293))</f>
        <v>0</v>
      </c>
      <c r="J293" s="2"/>
      <c r="K293" s="15" t="str">
        <f t="shared" si="133"/>
        <v/>
      </c>
      <c r="L293" s="15">
        <f>IF(K293="",0,AVERAGE($K$10:K293))</f>
        <v>0</v>
      </c>
      <c r="M293" s="15">
        <f>IF(K292="",0,VAR($K$10:K293))</f>
        <v>0</v>
      </c>
      <c r="O293" s="2"/>
      <c r="P293" s="15" t="str">
        <f t="shared" si="134"/>
        <v/>
      </c>
      <c r="Q293" s="15">
        <f>IF(P293="",0,AVERAGE(P$10:P293))</f>
        <v>0</v>
      </c>
      <c r="R293" s="15">
        <f>IF(P292="",0,VAR(P$10:P293))</f>
        <v>0</v>
      </c>
      <c r="T293" s="2"/>
      <c r="U293" s="15" t="str">
        <f t="shared" si="140"/>
        <v/>
      </c>
      <c r="V293" s="15">
        <f>IF(U293="",0,AVERAGE(U$10:U293))</f>
        <v>0</v>
      </c>
      <c r="W293" s="15">
        <f>IF(U292="",0,VAR(U$10:U293))</f>
        <v>0</v>
      </c>
      <c r="Y293" s="2"/>
      <c r="Z293" s="15" t="str">
        <f t="shared" si="135"/>
        <v/>
      </c>
      <c r="AA293" s="15">
        <f>IF(Z293="",0,AVERAGE(Z$10:Z293))</f>
        <v>0</v>
      </c>
      <c r="AB293" s="15">
        <f>IF(Z292="",0,VAR(Z$10:Z293))</f>
        <v>0</v>
      </c>
      <c r="AD293" s="2"/>
      <c r="AE293" s="15" t="str">
        <f t="shared" si="141"/>
        <v/>
      </c>
      <c r="AF293" s="15">
        <f>IF(AE293="",0,AVERAGE(AE$10:AE293))</f>
        <v>0</v>
      </c>
      <c r="AG293" s="15">
        <f>IF(AE292="",0,VAR(AE$10:AE293))</f>
        <v>0</v>
      </c>
      <c r="AI293" s="2"/>
      <c r="AJ293" s="15" t="str">
        <f t="shared" si="136"/>
        <v/>
      </c>
      <c r="AK293" s="15">
        <f>IF(AJ293="",0,AVERAGE(AJ$10:AJ293))</f>
        <v>0</v>
      </c>
      <c r="AL293" s="15">
        <f>IF(AJ292="",0,VAR(AJ$10:AJ293))</f>
        <v>0</v>
      </c>
      <c r="AN293" s="2"/>
      <c r="AO293" s="15" t="str">
        <f t="shared" si="137"/>
        <v/>
      </c>
      <c r="AP293" s="15">
        <f>IF(AO293="",0,AVERAGE(AO$10:AO293))</f>
        <v>0</v>
      </c>
      <c r="AQ293" s="15">
        <f>IF(AO292="",0,VAR(AO$10:AO293))</f>
        <v>0</v>
      </c>
      <c r="AS293" s="2"/>
      <c r="AT293" s="15" t="str">
        <f t="shared" si="138"/>
        <v/>
      </c>
      <c r="AU293" s="15">
        <f>IF(AT293="",0,AVERAGE(AT$10:AT293))</f>
        <v>0</v>
      </c>
      <c r="AV293" s="15">
        <f>IF(AT292="",0,VAR(AT$10:AT293))</f>
        <v>0</v>
      </c>
      <c r="AX293" s="2"/>
      <c r="AY293" s="15" t="str">
        <f t="shared" si="139"/>
        <v/>
      </c>
      <c r="AZ293" s="15">
        <f>IF(AY293="",0,AVERAGE(AY$10:AY293))</f>
        <v>0</v>
      </c>
      <c r="BA293" s="15">
        <f>IF(AY292="",0,VAR(AY$10:AY293))</f>
        <v>0</v>
      </c>
    </row>
    <row r="294" spans="3:53" x14ac:dyDescent="0.25">
      <c r="C294" s="2"/>
      <c r="E294" s="2"/>
      <c r="F294" s="15"/>
      <c r="G294" s="15">
        <f>IF(F294="",0,AVERAGE($F$10:F294))</f>
        <v>0</v>
      </c>
      <c r="H294" s="15">
        <f>IF(F293="",0,VAR($F$10:F294))</f>
        <v>0</v>
      </c>
      <c r="J294" s="2"/>
      <c r="K294" s="15" t="str">
        <f t="shared" si="133"/>
        <v/>
      </c>
      <c r="L294" s="15">
        <f>IF(K294="",0,AVERAGE($K$10:K294))</f>
        <v>0</v>
      </c>
      <c r="M294" s="15">
        <f>IF(K293="",0,VAR($K$10:K294))</f>
        <v>0</v>
      </c>
      <c r="O294" s="2"/>
      <c r="P294" s="15" t="str">
        <f t="shared" si="134"/>
        <v/>
      </c>
      <c r="Q294" s="15">
        <f>IF(P294="",0,AVERAGE(P$10:P294))</f>
        <v>0</v>
      </c>
      <c r="R294" s="15">
        <f>IF(P293="",0,VAR(P$10:P294))</f>
        <v>0</v>
      </c>
      <c r="T294" s="2"/>
      <c r="U294" s="15" t="str">
        <f t="shared" si="140"/>
        <v/>
      </c>
      <c r="V294" s="15">
        <f>IF(U294="",0,AVERAGE(U$10:U294))</f>
        <v>0</v>
      </c>
      <c r="W294" s="15">
        <f>IF(U293="",0,VAR(U$10:U294))</f>
        <v>0</v>
      </c>
      <c r="Y294" s="2"/>
      <c r="Z294" s="15" t="str">
        <f t="shared" si="135"/>
        <v/>
      </c>
      <c r="AA294" s="15">
        <f>IF(Z294="",0,AVERAGE(Z$10:Z294))</f>
        <v>0</v>
      </c>
      <c r="AB294" s="15">
        <f>IF(Z293="",0,VAR(Z$10:Z294))</f>
        <v>0</v>
      </c>
      <c r="AD294" s="2"/>
      <c r="AE294" s="15" t="str">
        <f t="shared" si="141"/>
        <v/>
      </c>
      <c r="AF294" s="15">
        <f>IF(AE294="",0,AVERAGE(AE$10:AE294))</f>
        <v>0</v>
      </c>
      <c r="AG294" s="15">
        <f>IF(AE293="",0,VAR(AE$10:AE294))</f>
        <v>0</v>
      </c>
      <c r="AI294" s="2"/>
      <c r="AJ294" s="15" t="str">
        <f t="shared" si="136"/>
        <v/>
      </c>
      <c r="AK294" s="15">
        <f>IF(AJ294="",0,AVERAGE(AJ$10:AJ294))</f>
        <v>0</v>
      </c>
      <c r="AL294" s="15">
        <f>IF(AJ293="",0,VAR(AJ$10:AJ294))</f>
        <v>0</v>
      </c>
      <c r="AN294" s="2"/>
      <c r="AO294" s="15" t="str">
        <f t="shared" si="137"/>
        <v/>
      </c>
      <c r="AP294" s="15">
        <f>IF(AO294="",0,AVERAGE(AO$10:AO294))</f>
        <v>0</v>
      </c>
      <c r="AQ294" s="15">
        <f>IF(AO293="",0,VAR(AO$10:AO294))</f>
        <v>0</v>
      </c>
      <c r="AS294" s="2"/>
      <c r="AT294" s="15" t="str">
        <f t="shared" si="138"/>
        <v/>
      </c>
      <c r="AU294" s="15">
        <f>IF(AT294="",0,AVERAGE(AT$10:AT294))</f>
        <v>0</v>
      </c>
      <c r="AV294" s="15">
        <f>IF(AT293="",0,VAR(AT$10:AT294))</f>
        <v>0</v>
      </c>
      <c r="AX294" s="2"/>
      <c r="AY294" s="15" t="str">
        <f t="shared" si="139"/>
        <v/>
      </c>
      <c r="AZ294" s="15">
        <f>IF(AY294="",0,AVERAGE(AY$10:AY294))</f>
        <v>0</v>
      </c>
      <c r="BA294" s="15">
        <f>IF(AY293="",0,VAR(AY$10:AY294))</f>
        <v>0</v>
      </c>
    </row>
    <row r="295" spans="3:53" x14ac:dyDescent="0.25">
      <c r="C295" s="2"/>
      <c r="E295" s="2"/>
      <c r="F295" s="15" t="str">
        <f t="shared" ref="F295" si="150">IF(E295="","",+(E295-E294)/E294)</f>
        <v/>
      </c>
      <c r="G295" s="15">
        <f>IF(F295="",0,AVERAGE($F$10:F295))</f>
        <v>0</v>
      </c>
      <c r="H295" s="15">
        <f>IF(F294="",0,VAR($F$10:F295))</f>
        <v>0</v>
      </c>
      <c r="J295" s="2"/>
      <c r="K295" s="15" t="str">
        <f t="shared" si="133"/>
        <v/>
      </c>
      <c r="L295" s="15">
        <f>IF(K295="",0,AVERAGE($K$10:K295))</f>
        <v>0</v>
      </c>
      <c r="M295" s="15">
        <f>IF(K294="",0,VAR($K$10:K295))</f>
        <v>0</v>
      </c>
      <c r="O295" s="2"/>
      <c r="P295" s="15" t="str">
        <f t="shared" si="134"/>
        <v/>
      </c>
      <c r="Q295" s="15">
        <f>IF(P295="",0,AVERAGE(P$10:P295))</f>
        <v>0</v>
      </c>
      <c r="R295" s="15">
        <f>IF(P294="",0,VAR(P$10:P295))</f>
        <v>0</v>
      </c>
      <c r="T295" s="2"/>
      <c r="U295" s="15" t="str">
        <f t="shared" si="140"/>
        <v/>
      </c>
      <c r="V295" s="15">
        <f>IF(U295="",0,AVERAGE(U$10:U295))</f>
        <v>0</v>
      </c>
      <c r="W295" s="15">
        <f>IF(U294="",0,VAR(U$10:U295))</f>
        <v>0</v>
      </c>
      <c r="Y295" s="2"/>
      <c r="Z295" s="15" t="str">
        <f t="shared" si="135"/>
        <v/>
      </c>
      <c r="AA295" s="15">
        <f>IF(Z295="",0,AVERAGE(Z$10:Z295))</f>
        <v>0</v>
      </c>
      <c r="AB295" s="15">
        <f>IF(Z294="",0,VAR(Z$10:Z295))</f>
        <v>0</v>
      </c>
      <c r="AD295" s="2"/>
      <c r="AE295" s="15" t="str">
        <f t="shared" si="141"/>
        <v/>
      </c>
      <c r="AF295" s="15">
        <f>IF(AE295="",0,AVERAGE(AE$10:AE295))</f>
        <v>0</v>
      </c>
      <c r="AG295" s="15">
        <f>IF(AE294="",0,VAR(AE$10:AE295))</f>
        <v>0</v>
      </c>
      <c r="AI295" s="2"/>
      <c r="AJ295" s="15" t="str">
        <f t="shared" si="136"/>
        <v/>
      </c>
      <c r="AK295" s="15">
        <f>IF(AJ295="",0,AVERAGE(AJ$10:AJ295))</f>
        <v>0</v>
      </c>
      <c r="AL295" s="15">
        <f>IF(AJ294="",0,VAR(AJ$10:AJ295))</f>
        <v>0</v>
      </c>
      <c r="AN295" s="2"/>
      <c r="AO295" s="15" t="str">
        <f t="shared" si="137"/>
        <v/>
      </c>
      <c r="AP295" s="15">
        <f>IF(AO295="",0,AVERAGE(AO$10:AO295))</f>
        <v>0</v>
      </c>
      <c r="AQ295" s="15">
        <f>IF(AO294="",0,VAR(AO$10:AO295))</f>
        <v>0</v>
      </c>
      <c r="AS295" s="2"/>
      <c r="AT295" s="15" t="str">
        <f t="shared" si="138"/>
        <v/>
      </c>
      <c r="AU295" s="15">
        <f>IF(AT295="",0,AVERAGE(AT$10:AT295))</f>
        <v>0</v>
      </c>
      <c r="AV295" s="15">
        <f>IF(AT294="",0,VAR(AT$10:AT295))</f>
        <v>0</v>
      </c>
      <c r="AX295" s="2"/>
      <c r="AY295" s="15" t="str">
        <f t="shared" si="139"/>
        <v/>
      </c>
      <c r="AZ295" s="15">
        <f>IF(AY295="",0,AVERAGE(AY$10:AY295))</f>
        <v>0</v>
      </c>
      <c r="BA295" s="15">
        <f>IF(AY294="",0,VAR(AY$10:AY295))</f>
        <v>0</v>
      </c>
    </row>
    <row r="296" spans="3:53" x14ac:dyDescent="0.25">
      <c r="C296" s="2"/>
      <c r="E296" s="2"/>
      <c r="F296" s="15" t="str">
        <f t="shared" si="131"/>
        <v/>
      </c>
      <c r="G296" s="15">
        <f>IF(F296="",0,AVERAGE($F$10:F296))</f>
        <v>0</v>
      </c>
      <c r="H296" s="15">
        <f>IF(F295="",0,VAR($F$10:F296))</f>
        <v>0</v>
      </c>
      <c r="J296" s="2"/>
      <c r="K296" s="15" t="str">
        <f t="shared" si="133"/>
        <v/>
      </c>
      <c r="L296" s="15">
        <f>IF(K296="",0,AVERAGE($K$10:K296))</f>
        <v>0</v>
      </c>
      <c r="M296" s="15">
        <f>IF(K295="",0,VAR($K$10:K296))</f>
        <v>0</v>
      </c>
      <c r="O296" s="2"/>
      <c r="P296" s="15" t="str">
        <f t="shared" si="134"/>
        <v/>
      </c>
      <c r="Q296" s="15">
        <f>IF(P296="",0,AVERAGE(P$10:P296))</f>
        <v>0</v>
      </c>
      <c r="R296" s="15">
        <f>IF(P295="",0,VAR(P$10:P296))</f>
        <v>0</v>
      </c>
      <c r="T296" s="2"/>
      <c r="U296" s="15" t="str">
        <f t="shared" si="140"/>
        <v/>
      </c>
      <c r="V296" s="15">
        <f>IF(U296="",0,AVERAGE(U$10:U296))</f>
        <v>0</v>
      </c>
      <c r="W296" s="15">
        <f>IF(U295="",0,VAR(U$10:U296))</f>
        <v>0</v>
      </c>
      <c r="Y296" s="2"/>
      <c r="Z296" s="15" t="str">
        <f t="shared" si="135"/>
        <v/>
      </c>
      <c r="AA296" s="15">
        <f>IF(Z296="",0,AVERAGE(Z$10:Z296))</f>
        <v>0</v>
      </c>
      <c r="AB296" s="15">
        <f>IF(Z295="",0,VAR(Z$10:Z296))</f>
        <v>0</v>
      </c>
      <c r="AD296" s="2"/>
      <c r="AE296" s="15" t="str">
        <f t="shared" si="141"/>
        <v/>
      </c>
      <c r="AF296" s="15">
        <f>IF(AE296="",0,AVERAGE(AE$10:AE296))</f>
        <v>0</v>
      </c>
      <c r="AG296" s="15">
        <f>IF(AE295="",0,VAR(AE$10:AE296))</f>
        <v>0</v>
      </c>
      <c r="AI296" s="2"/>
      <c r="AJ296" s="15" t="str">
        <f t="shared" si="136"/>
        <v/>
      </c>
      <c r="AK296" s="15">
        <f>IF(AJ296="",0,AVERAGE(AJ$10:AJ296))</f>
        <v>0</v>
      </c>
      <c r="AL296" s="15">
        <f>IF(AJ295="",0,VAR(AJ$10:AJ296))</f>
        <v>0</v>
      </c>
      <c r="AN296" s="2"/>
      <c r="AO296" s="15" t="str">
        <f t="shared" si="137"/>
        <v/>
      </c>
      <c r="AP296" s="15">
        <f>IF(AO296="",0,AVERAGE(AO$10:AO296))</f>
        <v>0</v>
      </c>
      <c r="AQ296" s="15">
        <f>IF(AO295="",0,VAR(AO$10:AO296))</f>
        <v>0</v>
      </c>
      <c r="AS296" s="2"/>
      <c r="AT296" s="15" t="str">
        <f t="shared" si="138"/>
        <v/>
      </c>
      <c r="AU296" s="15">
        <f>IF(AT296="",0,AVERAGE(AT$10:AT296))</f>
        <v>0</v>
      </c>
      <c r="AV296" s="15">
        <f>IF(AT295="",0,VAR(AT$10:AT296))</f>
        <v>0</v>
      </c>
      <c r="AX296" s="2"/>
      <c r="AY296" s="15" t="str">
        <f t="shared" si="139"/>
        <v/>
      </c>
      <c r="AZ296" s="15">
        <f>IF(AY296="",0,AVERAGE(AY$10:AY296))</f>
        <v>0</v>
      </c>
      <c r="BA296" s="15">
        <f>IF(AY295="",0,VAR(AY$10:AY296))</f>
        <v>0</v>
      </c>
    </row>
    <row r="297" spans="3:53" x14ac:dyDescent="0.25">
      <c r="C297" s="2"/>
      <c r="E297" s="2"/>
      <c r="F297" s="15"/>
      <c r="G297" s="15">
        <f>IF(F297="",0,AVERAGE($F$10:F297))</f>
        <v>0</v>
      </c>
      <c r="H297" s="15">
        <f>IF(F296="",0,VAR($F$10:F297))</f>
        <v>0</v>
      </c>
      <c r="J297" s="2"/>
      <c r="K297" s="15" t="str">
        <f t="shared" si="133"/>
        <v/>
      </c>
      <c r="L297" s="15">
        <f>IF(K297="",0,AVERAGE($K$10:K297))</f>
        <v>0</v>
      </c>
      <c r="M297" s="15">
        <f>IF(K296="",0,VAR($K$10:K297))</f>
        <v>0</v>
      </c>
      <c r="O297" s="2"/>
      <c r="P297" s="15" t="str">
        <f t="shared" si="134"/>
        <v/>
      </c>
      <c r="Q297" s="15">
        <f>IF(P297="",0,AVERAGE(P$10:P297))</f>
        <v>0</v>
      </c>
      <c r="R297" s="15">
        <f>IF(P296="",0,VAR(P$10:P297))</f>
        <v>0</v>
      </c>
      <c r="T297" s="2"/>
      <c r="U297" s="15" t="str">
        <f t="shared" si="140"/>
        <v/>
      </c>
      <c r="V297" s="15">
        <f>IF(U297="",0,AVERAGE(U$10:U297))</f>
        <v>0</v>
      </c>
      <c r="W297" s="15">
        <f>IF(U296="",0,VAR(U$10:U297))</f>
        <v>0</v>
      </c>
      <c r="Y297" s="2"/>
      <c r="Z297" s="15" t="str">
        <f t="shared" si="135"/>
        <v/>
      </c>
      <c r="AA297" s="15">
        <f>IF(Z297="",0,AVERAGE(Z$10:Z297))</f>
        <v>0</v>
      </c>
      <c r="AB297" s="15">
        <f>IF(Z296="",0,VAR(Z$10:Z297))</f>
        <v>0</v>
      </c>
      <c r="AD297" s="2"/>
      <c r="AE297" s="15" t="str">
        <f t="shared" si="141"/>
        <v/>
      </c>
      <c r="AF297" s="15">
        <f>IF(AE297="",0,AVERAGE(AE$10:AE297))</f>
        <v>0</v>
      </c>
      <c r="AG297" s="15">
        <f>IF(AE296="",0,VAR(AE$10:AE297))</f>
        <v>0</v>
      </c>
      <c r="AI297" s="2"/>
      <c r="AJ297" s="15" t="str">
        <f t="shared" si="136"/>
        <v/>
      </c>
      <c r="AK297" s="15">
        <f>IF(AJ297="",0,AVERAGE(AJ$10:AJ297))</f>
        <v>0</v>
      </c>
      <c r="AL297" s="15">
        <f>IF(AJ296="",0,VAR(AJ$10:AJ297))</f>
        <v>0</v>
      </c>
      <c r="AN297" s="2"/>
      <c r="AO297" s="15" t="str">
        <f t="shared" si="137"/>
        <v/>
      </c>
      <c r="AP297" s="15">
        <f>IF(AO297="",0,AVERAGE(AO$10:AO297))</f>
        <v>0</v>
      </c>
      <c r="AQ297" s="15">
        <f>IF(AO296="",0,VAR(AO$10:AO297))</f>
        <v>0</v>
      </c>
      <c r="AS297" s="2"/>
      <c r="AT297" s="15" t="str">
        <f t="shared" si="138"/>
        <v/>
      </c>
      <c r="AU297" s="15">
        <f>IF(AT297="",0,AVERAGE(AT$10:AT297))</f>
        <v>0</v>
      </c>
      <c r="AV297" s="15">
        <f>IF(AT296="",0,VAR(AT$10:AT297))</f>
        <v>0</v>
      </c>
      <c r="AX297" s="2"/>
      <c r="AY297" s="15" t="str">
        <f t="shared" si="139"/>
        <v/>
      </c>
      <c r="AZ297" s="15">
        <f>IF(AY297="",0,AVERAGE(AY$10:AY297))</f>
        <v>0</v>
      </c>
      <c r="BA297" s="15">
        <f>IF(AY296="",0,VAR(AY$10:AY297))</f>
        <v>0</v>
      </c>
    </row>
    <row r="298" spans="3:53" x14ac:dyDescent="0.25">
      <c r="C298" s="2"/>
      <c r="E298" s="2"/>
      <c r="F298" s="15" t="str">
        <f t="shared" ref="F298" si="151">IF(E298="","",+(E298-E297)/E297)</f>
        <v/>
      </c>
      <c r="G298" s="15">
        <f>IF(F298="",0,AVERAGE($F$10:F298))</f>
        <v>0</v>
      </c>
      <c r="H298" s="15">
        <f>IF(F297="",0,VAR($F$10:F298))</f>
        <v>0</v>
      </c>
      <c r="J298" s="2"/>
      <c r="K298" s="15" t="str">
        <f t="shared" si="133"/>
        <v/>
      </c>
      <c r="L298" s="15">
        <f>IF(K298="",0,AVERAGE($K$10:K298))</f>
        <v>0</v>
      </c>
      <c r="M298" s="15">
        <f>IF(K297="",0,VAR($K$10:K298))</f>
        <v>0</v>
      </c>
      <c r="O298" s="2"/>
      <c r="P298" s="15" t="str">
        <f t="shared" si="134"/>
        <v/>
      </c>
      <c r="Q298" s="15">
        <f>IF(P298="",0,AVERAGE(P$10:P298))</f>
        <v>0</v>
      </c>
      <c r="R298" s="15">
        <f>IF(P297="",0,VAR(P$10:P298))</f>
        <v>0</v>
      </c>
      <c r="T298" s="2"/>
      <c r="U298" s="15" t="str">
        <f t="shared" si="140"/>
        <v/>
      </c>
      <c r="V298" s="15">
        <f>IF(U298="",0,AVERAGE(U$10:U298))</f>
        <v>0</v>
      </c>
      <c r="W298" s="15">
        <f>IF(U297="",0,VAR(U$10:U298))</f>
        <v>0</v>
      </c>
      <c r="Y298" s="2"/>
      <c r="Z298" s="15" t="str">
        <f t="shared" si="135"/>
        <v/>
      </c>
      <c r="AA298" s="15">
        <f>IF(Z298="",0,AVERAGE(Z$10:Z298))</f>
        <v>0</v>
      </c>
      <c r="AB298" s="15">
        <f>IF(Z297="",0,VAR(Z$10:Z298))</f>
        <v>0</v>
      </c>
      <c r="AD298" s="2"/>
      <c r="AE298" s="15" t="str">
        <f t="shared" si="141"/>
        <v/>
      </c>
      <c r="AF298" s="15">
        <f>IF(AE298="",0,AVERAGE(AE$10:AE298))</f>
        <v>0</v>
      </c>
      <c r="AG298" s="15">
        <f>IF(AE297="",0,VAR(AE$10:AE298))</f>
        <v>0</v>
      </c>
      <c r="AI298" s="2"/>
      <c r="AJ298" s="15" t="str">
        <f t="shared" si="136"/>
        <v/>
      </c>
      <c r="AK298" s="15">
        <f>IF(AJ298="",0,AVERAGE(AJ$10:AJ298))</f>
        <v>0</v>
      </c>
      <c r="AL298" s="15">
        <f>IF(AJ297="",0,VAR(AJ$10:AJ298))</f>
        <v>0</v>
      </c>
      <c r="AN298" s="2"/>
      <c r="AO298" s="15" t="str">
        <f t="shared" si="137"/>
        <v/>
      </c>
      <c r="AP298" s="15">
        <f>IF(AO298="",0,AVERAGE(AO$10:AO298))</f>
        <v>0</v>
      </c>
      <c r="AQ298" s="15">
        <f>IF(AO297="",0,VAR(AO$10:AO298))</f>
        <v>0</v>
      </c>
      <c r="AS298" s="2"/>
      <c r="AT298" s="15" t="str">
        <f t="shared" si="138"/>
        <v/>
      </c>
      <c r="AU298" s="15">
        <f>IF(AT298="",0,AVERAGE(AT$10:AT298))</f>
        <v>0</v>
      </c>
      <c r="AV298" s="15">
        <f>IF(AT297="",0,VAR(AT$10:AT298))</f>
        <v>0</v>
      </c>
      <c r="AX298" s="2"/>
      <c r="AY298" s="15" t="str">
        <f t="shared" si="139"/>
        <v/>
      </c>
      <c r="AZ298" s="15">
        <f>IF(AY298="",0,AVERAGE(AY$10:AY298))</f>
        <v>0</v>
      </c>
      <c r="BA298" s="15">
        <f>IF(AY297="",0,VAR(AY$10:AY298))</f>
        <v>0</v>
      </c>
    </row>
    <row r="299" spans="3:53" x14ac:dyDescent="0.25">
      <c r="C299" s="2"/>
      <c r="E299" s="2"/>
      <c r="F299" s="15" t="str">
        <f t="shared" si="131"/>
        <v/>
      </c>
      <c r="G299" s="15">
        <f>IF(F299="",0,AVERAGE($F$10:F299))</f>
        <v>0</v>
      </c>
      <c r="H299" s="15">
        <f>IF(F298="",0,VAR($F$10:F299))</f>
        <v>0</v>
      </c>
      <c r="J299" s="2"/>
      <c r="K299" s="15" t="str">
        <f t="shared" si="133"/>
        <v/>
      </c>
      <c r="L299" s="15">
        <f>IF(K299="",0,AVERAGE($K$10:K299))</f>
        <v>0</v>
      </c>
      <c r="M299" s="15">
        <f>IF(K298="",0,VAR($K$10:K299))</f>
        <v>0</v>
      </c>
      <c r="O299" s="2"/>
      <c r="P299" s="15" t="str">
        <f t="shared" si="134"/>
        <v/>
      </c>
      <c r="Q299" s="15">
        <f>IF(P299="",0,AVERAGE(P$10:P299))</f>
        <v>0</v>
      </c>
      <c r="R299" s="15">
        <f>IF(P298="",0,VAR(P$10:P299))</f>
        <v>0</v>
      </c>
      <c r="T299" s="2"/>
      <c r="U299" s="15" t="str">
        <f t="shared" si="140"/>
        <v/>
      </c>
      <c r="V299" s="15">
        <f>IF(U299="",0,AVERAGE(U$10:U299))</f>
        <v>0</v>
      </c>
      <c r="W299" s="15">
        <f>IF(U298="",0,VAR(U$10:U299))</f>
        <v>0</v>
      </c>
      <c r="Y299" s="2"/>
      <c r="Z299" s="15" t="str">
        <f t="shared" si="135"/>
        <v/>
      </c>
      <c r="AA299" s="15">
        <f>IF(Z299="",0,AVERAGE(Z$10:Z299))</f>
        <v>0</v>
      </c>
      <c r="AB299" s="15">
        <f>IF(Z298="",0,VAR(Z$10:Z299))</f>
        <v>0</v>
      </c>
      <c r="AD299" s="2"/>
      <c r="AE299" s="15" t="str">
        <f t="shared" si="141"/>
        <v/>
      </c>
      <c r="AF299" s="15">
        <f>IF(AE299="",0,AVERAGE(AE$10:AE299))</f>
        <v>0</v>
      </c>
      <c r="AG299" s="15">
        <f>IF(AE298="",0,VAR(AE$10:AE299))</f>
        <v>0</v>
      </c>
      <c r="AI299" s="2"/>
      <c r="AJ299" s="15" t="str">
        <f t="shared" si="136"/>
        <v/>
      </c>
      <c r="AK299" s="15">
        <f>IF(AJ299="",0,AVERAGE(AJ$10:AJ299))</f>
        <v>0</v>
      </c>
      <c r="AL299" s="15">
        <f>IF(AJ298="",0,VAR(AJ$10:AJ299))</f>
        <v>0</v>
      </c>
      <c r="AN299" s="2"/>
      <c r="AO299" s="15" t="str">
        <f t="shared" si="137"/>
        <v/>
      </c>
      <c r="AP299" s="15">
        <f>IF(AO299="",0,AVERAGE(AO$10:AO299))</f>
        <v>0</v>
      </c>
      <c r="AQ299" s="15">
        <f>IF(AO298="",0,VAR(AO$10:AO299))</f>
        <v>0</v>
      </c>
      <c r="AS299" s="2"/>
      <c r="AT299" s="15" t="str">
        <f t="shared" si="138"/>
        <v/>
      </c>
      <c r="AU299" s="15">
        <f>IF(AT299="",0,AVERAGE(AT$10:AT299))</f>
        <v>0</v>
      </c>
      <c r="AV299" s="15">
        <f>IF(AT298="",0,VAR(AT$10:AT299))</f>
        <v>0</v>
      </c>
      <c r="AX299" s="2"/>
      <c r="AY299" s="15" t="str">
        <f t="shared" si="139"/>
        <v/>
      </c>
      <c r="AZ299" s="15">
        <f>IF(AY299="",0,AVERAGE(AY$10:AY299))</f>
        <v>0</v>
      </c>
      <c r="BA299" s="15">
        <f>IF(AY298="",0,VAR(AY$10:AY299))</f>
        <v>0</v>
      </c>
    </row>
    <row r="300" spans="3:53" x14ac:dyDescent="0.25">
      <c r="C300" s="2"/>
      <c r="E300" s="2"/>
      <c r="F300" s="15"/>
      <c r="G300" s="15">
        <f>IF(F300="",0,AVERAGE($F$10:F300))</f>
        <v>0</v>
      </c>
      <c r="H300" s="15">
        <f>IF(F299="",0,VAR($F$10:F300))</f>
        <v>0</v>
      </c>
      <c r="J300" s="2"/>
      <c r="K300" s="15" t="str">
        <f t="shared" si="133"/>
        <v/>
      </c>
      <c r="L300" s="15">
        <f>IF(K300="",0,AVERAGE($K$10:K300))</f>
        <v>0</v>
      </c>
      <c r="M300" s="15">
        <f>IF(K299="",0,VAR($K$10:K300))</f>
        <v>0</v>
      </c>
      <c r="O300" s="2"/>
      <c r="P300" s="15" t="str">
        <f t="shared" si="134"/>
        <v/>
      </c>
      <c r="Q300" s="15">
        <f>IF(P300="",0,AVERAGE(P$10:P300))</f>
        <v>0</v>
      </c>
      <c r="R300" s="15">
        <f>IF(P299="",0,VAR(P$10:P300))</f>
        <v>0</v>
      </c>
      <c r="T300" s="2"/>
      <c r="U300" s="15" t="str">
        <f t="shared" si="140"/>
        <v/>
      </c>
      <c r="V300" s="15">
        <f>IF(U300="",0,AVERAGE(U$10:U300))</f>
        <v>0</v>
      </c>
      <c r="W300" s="15">
        <f>IF(U299="",0,VAR(U$10:U300))</f>
        <v>0</v>
      </c>
      <c r="Y300" s="2"/>
      <c r="Z300" s="15" t="str">
        <f t="shared" si="135"/>
        <v/>
      </c>
      <c r="AA300" s="15">
        <f>IF(Z300="",0,AVERAGE(Z$10:Z300))</f>
        <v>0</v>
      </c>
      <c r="AB300" s="15">
        <f>IF(Z299="",0,VAR(Z$10:Z300))</f>
        <v>0</v>
      </c>
      <c r="AD300" s="2"/>
      <c r="AE300" s="15" t="str">
        <f t="shared" si="141"/>
        <v/>
      </c>
      <c r="AF300" s="15">
        <f>IF(AE300="",0,AVERAGE(AE$10:AE300))</f>
        <v>0</v>
      </c>
      <c r="AG300" s="15">
        <f>IF(AE299="",0,VAR(AE$10:AE300))</f>
        <v>0</v>
      </c>
      <c r="AI300" s="2"/>
      <c r="AJ300" s="15" t="str">
        <f t="shared" si="136"/>
        <v/>
      </c>
      <c r="AK300" s="15">
        <f>IF(AJ300="",0,AVERAGE(AJ$10:AJ300))</f>
        <v>0</v>
      </c>
      <c r="AL300" s="15">
        <f>IF(AJ299="",0,VAR(AJ$10:AJ300))</f>
        <v>0</v>
      </c>
      <c r="AN300" s="2"/>
      <c r="AO300" s="15" t="str">
        <f t="shared" si="137"/>
        <v/>
      </c>
      <c r="AP300" s="15">
        <f>IF(AO300="",0,AVERAGE(AO$10:AO300))</f>
        <v>0</v>
      </c>
      <c r="AQ300" s="15">
        <f>IF(AO299="",0,VAR(AO$10:AO300))</f>
        <v>0</v>
      </c>
      <c r="AS300" s="2"/>
      <c r="AT300" s="15" t="str">
        <f t="shared" si="138"/>
        <v/>
      </c>
      <c r="AU300" s="15">
        <f>IF(AT300="",0,AVERAGE(AT$10:AT300))</f>
        <v>0</v>
      </c>
      <c r="AV300" s="15">
        <f>IF(AT299="",0,VAR(AT$10:AT300))</f>
        <v>0</v>
      </c>
      <c r="AX300" s="2"/>
      <c r="AY300" s="15" t="str">
        <f t="shared" si="139"/>
        <v/>
      </c>
      <c r="AZ300" s="15">
        <f>IF(AY300="",0,AVERAGE(AY$10:AY300))</f>
        <v>0</v>
      </c>
      <c r="BA300" s="15">
        <f>IF(AY299="",0,VAR(AY$10:AY300))</f>
        <v>0</v>
      </c>
    </row>
    <row r="301" spans="3:53" x14ac:dyDescent="0.25">
      <c r="C301" s="2"/>
      <c r="E301" s="2"/>
      <c r="F301" s="15" t="str">
        <f t="shared" ref="F301" si="152">IF(E301="","",+(E301-E300)/E300)</f>
        <v/>
      </c>
      <c r="G301" s="15">
        <f>IF(F301="",0,AVERAGE($F$10:F301))</f>
        <v>0</v>
      </c>
      <c r="H301" s="15">
        <f>IF(F300="",0,VAR($F$10:F301))</f>
        <v>0</v>
      </c>
      <c r="J301" s="2"/>
      <c r="K301" s="15" t="str">
        <f t="shared" si="133"/>
        <v/>
      </c>
      <c r="L301" s="15">
        <f>IF(K301="",0,AVERAGE($K$10:K301))</f>
        <v>0</v>
      </c>
      <c r="M301" s="15">
        <f>IF(K300="",0,VAR($K$10:K301))</f>
        <v>0</v>
      </c>
      <c r="O301" s="2"/>
      <c r="P301" s="15" t="str">
        <f t="shared" si="134"/>
        <v/>
      </c>
      <c r="Q301" s="15">
        <f>IF(P301="",0,AVERAGE(P$10:P301))</f>
        <v>0</v>
      </c>
      <c r="R301" s="15">
        <f>IF(P300="",0,VAR(P$10:P301))</f>
        <v>0</v>
      </c>
      <c r="T301" s="2"/>
      <c r="U301" s="15" t="str">
        <f t="shared" si="140"/>
        <v/>
      </c>
      <c r="V301" s="15">
        <f>IF(U301="",0,AVERAGE(U$10:U301))</f>
        <v>0</v>
      </c>
      <c r="W301" s="15">
        <f>IF(U300="",0,VAR(U$10:U301))</f>
        <v>0</v>
      </c>
      <c r="Y301" s="2"/>
      <c r="Z301" s="15" t="str">
        <f t="shared" si="135"/>
        <v/>
      </c>
      <c r="AA301" s="15">
        <f>IF(Z301="",0,AVERAGE(Z$10:Z301))</f>
        <v>0</v>
      </c>
      <c r="AB301" s="15">
        <f>IF(Z300="",0,VAR(Z$10:Z301))</f>
        <v>0</v>
      </c>
      <c r="AD301" s="2"/>
      <c r="AE301" s="15" t="str">
        <f t="shared" si="141"/>
        <v/>
      </c>
      <c r="AF301" s="15">
        <f>IF(AE301="",0,AVERAGE(AE$10:AE301))</f>
        <v>0</v>
      </c>
      <c r="AG301" s="15">
        <f>IF(AE300="",0,VAR(AE$10:AE301))</f>
        <v>0</v>
      </c>
      <c r="AI301" s="2"/>
      <c r="AJ301" s="15" t="str">
        <f t="shared" si="136"/>
        <v/>
      </c>
      <c r="AK301" s="15">
        <f>IF(AJ301="",0,AVERAGE(AJ$10:AJ301))</f>
        <v>0</v>
      </c>
      <c r="AL301" s="15">
        <f>IF(AJ300="",0,VAR(AJ$10:AJ301))</f>
        <v>0</v>
      </c>
      <c r="AN301" s="2"/>
      <c r="AO301" s="15" t="str">
        <f t="shared" si="137"/>
        <v/>
      </c>
      <c r="AP301" s="15">
        <f>IF(AO301="",0,AVERAGE(AO$10:AO301))</f>
        <v>0</v>
      </c>
      <c r="AQ301" s="15">
        <f>IF(AO300="",0,VAR(AO$10:AO301))</f>
        <v>0</v>
      </c>
      <c r="AS301" s="2"/>
      <c r="AT301" s="15" t="str">
        <f t="shared" si="138"/>
        <v/>
      </c>
      <c r="AU301" s="15">
        <f>IF(AT301="",0,AVERAGE(AT$10:AT301))</f>
        <v>0</v>
      </c>
      <c r="AV301" s="15">
        <f>IF(AT300="",0,VAR(AT$10:AT301))</f>
        <v>0</v>
      </c>
      <c r="AX301" s="2"/>
      <c r="AY301" s="15" t="str">
        <f t="shared" si="139"/>
        <v/>
      </c>
      <c r="AZ301" s="15">
        <f>IF(AY301="",0,AVERAGE(AY$10:AY301))</f>
        <v>0</v>
      </c>
      <c r="BA301" s="15">
        <f>IF(AY300="",0,VAR(AY$10:AY301))</f>
        <v>0</v>
      </c>
    </row>
    <row r="302" spans="3:53" x14ac:dyDescent="0.25">
      <c r="C302" s="2"/>
      <c r="E302" s="2"/>
      <c r="F302" s="15" t="str">
        <f t="shared" si="131"/>
        <v/>
      </c>
      <c r="G302" s="15">
        <f>IF(F302="",0,AVERAGE($F$10:F302))</f>
        <v>0</v>
      </c>
      <c r="H302" s="15">
        <f>IF(F301="",0,VAR($F$10:F302))</f>
        <v>0</v>
      </c>
      <c r="J302" s="2"/>
      <c r="K302" s="15" t="str">
        <f t="shared" si="133"/>
        <v/>
      </c>
      <c r="L302" s="15">
        <f>IF(K302="",0,AVERAGE($K$10:K302))</f>
        <v>0</v>
      </c>
      <c r="M302" s="15">
        <f>IF(K301="",0,VAR($K$10:K302))</f>
        <v>0</v>
      </c>
      <c r="O302" s="2"/>
      <c r="P302" s="15" t="str">
        <f t="shared" si="134"/>
        <v/>
      </c>
      <c r="Q302" s="15">
        <f>IF(P302="",0,AVERAGE(P$10:P302))</f>
        <v>0</v>
      </c>
      <c r="R302" s="15">
        <f>IF(P301="",0,VAR(P$10:P302))</f>
        <v>0</v>
      </c>
      <c r="T302" s="2"/>
      <c r="U302" s="15" t="str">
        <f t="shared" si="140"/>
        <v/>
      </c>
      <c r="V302" s="15">
        <f>IF(U302="",0,AVERAGE(U$10:U302))</f>
        <v>0</v>
      </c>
      <c r="W302" s="15">
        <f>IF(U301="",0,VAR(U$10:U302))</f>
        <v>0</v>
      </c>
      <c r="Y302" s="2"/>
      <c r="Z302" s="15" t="str">
        <f t="shared" si="135"/>
        <v/>
      </c>
      <c r="AA302" s="15">
        <f>IF(Z302="",0,AVERAGE(Z$10:Z302))</f>
        <v>0</v>
      </c>
      <c r="AB302" s="15">
        <f>IF(Z301="",0,VAR(Z$10:Z302))</f>
        <v>0</v>
      </c>
      <c r="AD302" s="2"/>
      <c r="AE302" s="15" t="str">
        <f t="shared" si="141"/>
        <v/>
      </c>
      <c r="AF302" s="15">
        <f>IF(AE302="",0,AVERAGE(AE$10:AE302))</f>
        <v>0</v>
      </c>
      <c r="AG302" s="15">
        <f>IF(AE301="",0,VAR(AE$10:AE302))</f>
        <v>0</v>
      </c>
      <c r="AI302" s="2"/>
      <c r="AJ302" s="15" t="str">
        <f t="shared" si="136"/>
        <v/>
      </c>
      <c r="AK302" s="15">
        <f>IF(AJ302="",0,AVERAGE(AJ$10:AJ302))</f>
        <v>0</v>
      </c>
      <c r="AL302" s="15">
        <f>IF(AJ301="",0,VAR(AJ$10:AJ302))</f>
        <v>0</v>
      </c>
      <c r="AN302" s="2"/>
      <c r="AO302" s="15" t="str">
        <f t="shared" si="137"/>
        <v/>
      </c>
      <c r="AP302" s="15">
        <f>IF(AO302="",0,AVERAGE(AO$10:AO302))</f>
        <v>0</v>
      </c>
      <c r="AQ302" s="15">
        <f>IF(AO301="",0,VAR(AO$10:AO302))</f>
        <v>0</v>
      </c>
      <c r="AS302" s="2"/>
      <c r="AT302" s="15" t="str">
        <f t="shared" si="138"/>
        <v/>
      </c>
      <c r="AU302" s="15">
        <f>IF(AT302="",0,AVERAGE(AT$10:AT302))</f>
        <v>0</v>
      </c>
      <c r="AV302" s="15">
        <f>IF(AT301="",0,VAR(AT$10:AT302))</f>
        <v>0</v>
      </c>
      <c r="AX302" s="2"/>
      <c r="AY302" s="15" t="str">
        <f t="shared" si="139"/>
        <v/>
      </c>
      <c r="AZ302" s="15">
        <f>IF(AY302="",0,AVERAGE(AY$10:AY302))</f>
        <v>0</v>
      </c>
      <c r="BA302" s="15">
        <f>IF(AY301="",0,VAR(AY$10:AY302))</f>
        <v>0</v>
      </c>
    </row>
    <row r="303" spans="3:53" x14ac:dyDescent="0.25">
      <c r="C303" s="2"/>
      <c r="E303" s="2"/>
      <c r="F303" s="15"/>
      <c r="G303" s="15">
        <f>IF(F303="",0,AVERAGE($F$10:F303))</f>
        <v>0</v>
      </c>
      <c r="H303" s="15">
        <f>IF(F302="",0,VAR($F$10:F303))</f>
        <v>0</v>
      </c>
      <c r="J303" s="2"/>
      <c r="K303" s="15" t="str">
        <f t="shared" si="133"/>
        <v/>
      </c>
      <c r="L303" s="15">
        <f>IF(K303="",0,AVERAGE($K$10:K303))</f>
        <v>0</v>
      </c>
      <c r="M303" s="15">
        <f>IF(K302="",0,VAR($K$10:K303))</f>
        <v>0</v>
      </c>
      <c r="O303" s="2"/>
      <c r="P303" s="15" t="str">
        <f t="shared" si="134"/>
        <v/>
      </c>
      <c r="Q303" s="15">
        <f>IF(P303="",0,AVERAGE(P$10:P303))</f>
        <v>0</v>
      </c>
      <c r="R303" s="15">
        <f>IF(P302="",0,VAR(P$10:P303))</f>
        <v>0</v>
      </c>
      <c r="T303" s="2"/>
      <c r="U303" s="15" t="str">
        <f t="shared" si="140"/>
        <v/>
      </c>
      <c r="V303" s="15">
        <f>IF(U303="",0,AVERAGE(U$10:U303))</f>
        <v>0</v>
      </c>
      <c r="W303" s="15">
        <f>IF(U302="",0,VAR(U$10:U303))</f>
        <v>0</v>
      </c>
      <c r="Y303" s="2"/>
      <c r="Z303" s="15" t="str">
        <f t="shared" si="135"/>
        <v/>
      </c>
      <c r="AA303" s="15">
        <f>IF(Z303="",0,AVERAGE(Z$10:Z303))</f>
        <v>0</v>
      </c>
      <c r="AB303" s="15">
        <f>IF(Z302="",0,VAR(Z$10:Z303))</f>
        <v>0</v>
      </c>
      <c r="AD303" s="2"/>
      <c r="AE303" s="15" t="str">
        <f t="shared" si="141"/>
        <v/>
      </c>
      <c r="AF303" s="15">
        <f>IF(AE303="",0,AVERAGE(AE$10:AE303))</f>
        <v>0</v>
      </c>
      <c r="AG303" s="15">
        <f>IF(AE302="",0,VAR(AE$10:AE303))</f>
        <v>0</v>
      </c>
      <c r="AI303" s="2"/>
      <c r="AJ303" s="15" t="str">
        <f t="shared" si="136"/>
        <v/>
      </c>
      <c r="AK303" s="15">
        <f>IF(AJ303="",0,AVERAGE(AJ$10:AJ303))</f>
        <v>0</v>
      </c>
      <c r="AL303" s="15">
        <f>IF(AJ302="",0,VAR(AJ$10:AJ303))</f>
        <v>0</v>
      </c>
      <c r="AN303" s="2"/>
      <c r="AO303" s="15" t="str">
        <f t="shared" si="137"/>
        <v/>
      </c>
      <c r="AP303" s="15">
        <f>IF(AO303="",0,AVERAGE(AO$10:AO303))</f>
        <v>0</v>
      </c>
      <c r="AQ303" s="15">
        <f>IF(AO302="",0,VAR(AO$10:AO303))</f>
        <v>0</v>
      </c>
      <c r="AS303" s="2"/>
      <c r="AT303" s="15" t="str">
        <f t="shared" si="138"/>
        <v/>
      </c>
      <c r="AU303" s="15">
        <f>IF(AT303="",0,AVERAGE(AT$10:AT303))</f>
        <v>0</v>
      </c>
      <c r="AV303" s="15">
        <f>IF(AT302="",0,VAR(AT$10:AT303))</f>
        <v>0</v>
      </c>
      <c r="AX303" s="2"/>
      <c r="AY303" s="15" t="str">
        <f t="shared" si="139"/>
        <v/>
      </c>
      <c r="AZ303" s="15">
        <f>IF(AY303="",0,AVERAGE(AY$10:AY303))</f>
        <v>0</v>
      </c>
      <c r="BA303" s="15">
        <f>IF(AY302="",0,VAR(AY$10:AY303))</f>
        <v>0</v>
      </c>
    </row>
    <row r="304" spans="3:53" x14ac:dyDescent="0.25">
      <c r="C304" s="2"/>
      <c r="E304" s="2"/>
      <c r="F304" s="15" t="str">
        <f t="shared" ref="F304" si="153">IF(E304="","",+(E304-E303)/E303)</f>
        <v/>
      </c>
      <c r="G304" s="15">
        <f>IF(F304="",0,AVERAGE($F$10:F304))</f>
        <v>0</v>
      </c>
      <c r="H304" s="15">
        <f>IF(F303="",0,VAR($F$10:F304))</f>
        <v>0</v>
      </c>
      <c r="J304" s="2"/>
      <c r="K304" s="15" t="str">
        <f t="shared" si="133"/>
        <v/>
      </c>
      <c r="L304" s="15">
        <f>IF(K304="",0,AVERAGE($K$10:K304))</f>
        <v>0</v>
      </c>
      <c r="M304" s="15">
        <f>IF(K303="",0,VAR($K$10:K304))</f>
        <v>0</v>
      </c>
      <c r="O304" s="2"/>
      <c r="P304" s="15" t="str">
        <f t="shared" si="134"/>
        <v/>
      </c>
      <c r="Q304" s="15">
        <f>IF(P304="",0,AVERAGE(P$10:P304))</f>
        <v>0</v>
      </c>
      <c r="R304" s="15">
        <f>IF(P303="",0,VAR(P$10:P304))</f>
        <v>0</v>
      </c>
      <c r="T304" s="2"/>
      <c r="U304" s="15" t="str">
        <f t="shared" si="140"/>
        <v/>
      </c>
      <c r="V304" s="15">
        <f>IF(U304="",0,AVERAGE(U$10:U304))</f>
        <v>0</v>
      </c>
      <c r="W304" s="15">
        <f>IF(U303="",0,VAR(U$10:U304))</f>
        <v>0</v>
      </c>
      <c r="Y304" s="2"/>
      <c r="Z304" s="15" t="str">
        <f t="shared" si="135"/>
        <v/>
      </c>
      <c r="AA304" s="15">
        <f>IF(Z304="",0,AVERAGE(Z$10:Z304))</f>
        <v>0</v>
      </c>
      <c r="AB304" s="15">
        <f>IF(Z303="",0,VAR(Z$10:Z304))</f>
        <v>0</v>
      </c>
      <c r="AD304" s="2"/>
      <c r="AE304" s="15" t="str">
        <f t="shared" si="141"/>
        <v/>
      </c>
      <c r="AF304" s="15">
        <f>IF(AE304="",0,AVERAGE(AE$10:AE304))</f>
        <v>0</v>
      </c>
      <c r="AG304" s="15">
        <f>IF(AE303="",0,VAR(AE$10:AE304))</f>
        <v>0</v>
      </c>
      <c r="AI304" s="2"/>
      <c r="AJ304" s="15" t="str">
        <f t="shared" si="136"/>
        <v/>
      </c>
      <c r="AK304" s="15">
        <f>IF(AJ304="",0,AVERAGE(AJ$10:AJ304))</f>
        <v>0</v>
      </c>
      <c r="AL304" s="15">
        <f>IF(AJ303="",0,VAR(AJ$10:AJ304))</f>
        <v>0</v>
      </c>
      <c r="AN304" s="2"/>
      <c r="AO304" s="15" t="str">
        <f t="shared" si="137"/>
        <v/>
      </c>
      <c r="AP304" s="15">
        <f>IF(AO304="",0,AVERAGE(AO$10:AO304))</f>
        <v>0</v>
      </c>
      <c r="AQ304" s="15">
        <f>IF(AO303="",0,VAR(AO$10:AO304))</f>
        <v>0</v>
      </c>
      <c r="AS304" s="2"/>
      <c r="AT304" s="15" t="str">
        <f t="shared" si="138"/>
        <v/>
      </c>
      <c r="AU304" s="15">
        <f>IF(AT304="",0,AVERAGE(AT$10:AT304))</f>
        <v>0</v>
      </c>
      <c r="AV304" s="15">
        <f>IF(AT303="",0,VAR(AT$10:AT304))</f>
        <v>0</v>
      </c>
      <c r="AX304" s="2"/>
      <c r="AY304" s="15" t="str">
        <f t="shared" si="139"/>
        <v/>
      </c>
      <c r="AZ304" s="15">
        <f>IF(AY304="",0,AVERAGE(AY$10:AY304))</f>
        <v>0</v>
      </c>
      <c r="BA304" s="15">
        <f>IF(AY303="",0,VAR(AY$10:AY304))</f>
        <v>0</v>
      </c>
    </row>
  </sheetData>
  <mergeCells count="40">
    <mergeCell ref="J6:M6"/>
    <mergeCell ref="J7:J8"/>
    <mergeCell ref="K7:K8"/>
    <mergeCell ref="M7:M8"/>
    <mergeCell ref="E7:E8"/>
    <mergeCell ref="F7:F8"/>
    <mergeCell ref="H7:H8"/>
    <mergeCell ref="E6:H6"/>
    <mergeCell ref="O6:R6"/>
    <mergeCell ref="O7:O8"/>
    <mergeCell ref="P7:P8"/>
    <mergeCell ref="R7:R8"/>
    <mergeCell ref="T6:W6"/>
    <mergeCell ref="T7:T8"/>
    <mergeCell ref="U7:U8"/>
    <mergeCell ref="W7:W8"/>
    <mergeCell ref="Y6:AB6"/>
    <mergeCell ref="Y7:Y8"/>
    <mergeCell ref="Z7:Z8"/>
    <mergeCell ref="AB7:AB8"/>
    <mergeCell ref="AD6:AG6"/>
    <mergeCell ref="AD7:AD8"/>
    <mergeCell ref="AE7:AE8"/>
    <mergeCell ref="AG7:AG8"/>
    <mergeCell ref="AI6:AL6"/>
    <mergeCell ref="AI7:AI8"/>
    <mergeCell ref="AJ7:AJ8"/>
    <mergeCell ref="AL7:AL8"/>
    <mergeCell ref="AN6:AQ6"/>
    <mergeCell ref="AN7:AN8"/>
    <mergeCell ref="AO7:AO8"/>
    <mergeCell ref="AQ7:AQ8"/>
    <mergeCell ref="AS6:AV6"/>
    <mergeCell ref="AS7:AS8"/>
    <mergeCell ref="AT7:AT8"/>
    <mergeCell ref="AV7:AV8"/>
    <mergeCell ref="AX6:BA6"/>
    <mergeCell ref="AX7:AX8"/>
    <mergeCell ref="AY7:AY8"/>
    <mergeCell ref="BA7:BA8"/>
  </mergeCells>
  <conditionalFormatting sqref="F9:H304">
    <cfRule type="expression" dxfId="31" priority="15" stopIfTrue="1">
      <formula>F9=0</formula>
    </cfRule>
  </conditionalFormatting>
  <conditionalFormatting sqref="AY10:BA304">
    <cfRule type="expression" dxfId="30" priority="1" stopIfTrue="1">
      <formula>AY10=0</formula>
    </cfRule>
  </conditionalFormatting>
  <conditionalFormatting sqref="K9:M304">
    <cfRule type="expression" dxfId="29" priority="14" stopIfTrue="1">
      <formula>K9=0</formula>
    </cfRule>
  </conditionalFormatting>
  <conditionalFormatting sqref="P9:R304">
    <cfRule type="expression" dxfId="28" priority="13" stopIfTrue="1">
      <formula>P9=0</formula>
    </cfRule>
  </conditionalFormatting>
  <conditionalFormatting sqref="U9:W304">
    <cfRule type="expression" dxfId="27" priority="12" stopIfTrue="1">
      <formula>U9=0</formula>
    </cfRule>
  </conditionalFormatting>
  <conditionalFormatting sqref="Z9:AB304">
    <cfRule type="expression" dxfId="26" priority="11" stopIfTrue="1">
      <formula>Z9=0</formula>
    </cfRule>
  </conditionalFormatting>
  <conditionalFormatting sqref="AE9:AG9">
    <cfRule type="expression" dxfId="25" priority="10" stopIfTrue="1">
      <formula>AE9=0</formula>
    </cfRule>
  </conditionalFormatting>
  <conditionalFormatting sqref="AE10:AG304">
    <cfRule type="expression" dxfId="24" priority="9" stopIfTrue="1">
      <formula>AE10=0</formula>
    </cfRule>
  </conditionalFormatting>
  <conditionalFormatting sqref="AJ9:AL9">
    <cfRule type="expression" dxfId="23" priority="8" stopIfTrue="1">
      <formula>AJ9=0</formula>
    </cfRule>
  </conditionalFormatting>
  <conditionalFormatting sqref="AJ10:AL304">
    <cfRule type="expression" dxfId="22" priority="7" stopIfTrue="1">
      <formula>AJ10=0</formula>
    </cfRule>
  </conditionalFormatting>
  <conditionalFormatting sqref="AO9:AQ9">
    <cfRule type="expression" dxfId="21" priority="6" stopIfTrue="1">
      <formula>AO9=0</formula>
    </cfRule>
  </conditionalFormatting>
  <conditionalFormatting sqref="AO10:AQ304">
    <cfRule type="expression" dxfId="20" priority="5" stopIfTrue="1">
      <formula>AO10=0</formula>
    </cfRule>
  </conditionalFormatting>
  <conditionalFormatting sqref="AT9:AV9">
    <cfRule type="expression" dxfId="19" priority="4" stopIfTrue="1">
      <formula>AT9=0</formula>
    </cfRule>
  </conditionalFormatting>
  <conditionalFormatting sqref="AT10:AV304">
    <cfRule type="expression" dxfId="18" priority="3" stopIfTrue="1">
      <formula>AT10=0</formula>
    </cfRule>
  </conditionalFormatting>
  <conditionalFormatting sqref="AY9:BA9">
    <cfRule type="expression" dxfId="17" priority="2" stopIfTrue="1">
      <formula>AY9=0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S29"/>
  <sheetViews>
    <sheetView showGridLines="0" zoomScale="90" zoomScaleNormal="90" workbookViewId="0">
      <selection activeCell="G24" sqref="G24"/>
    </sheetView>
  </sheetViews>
  <sheetFormatPr baseColWidth="10" defaultRowHeight="15" x14ac:dyDescent="0.25"/>
  <cols>
    <col min="1" max="1" width="1.85546875" style="16" customWidth="1"/>
    <col min="2" max="3" width="15.7109375" style="16" bestFit="1" customWidth="1"/>
    <col min="4" max="4" width="13.42578125" style="16" customWidth="1"/>
    <col min="5" max="5" width="15" style="16" customWidth="1"/>
    <col min="6" max="6" width="14.5703125" style="16" customWidth="1"/>
    <col min="7" max="7" width="15.5703125" style="16" customWidth="1"/>
    <col min="8" max="8" width="11.85546875" style="16" customWidth="1"/>
    <col min="9" max="9" width="13.5703125" style="16" customWidth="1"/>
    <col min="10" max="10" width="13.28515625" style="16" customWidth="1"/>
    <col min="11" max="11" width="18.7109375" style="16" customWidth="1"/>
    <col min="12" max="12" width="11.42578125" style="16"/>
    <col min="13" max="13" width="25.42578125" style="16" bestFit="1" customWidth="1"/>
    <col min="14" max="14" width="21.28515625" style="16" bestFit="1" customWidth="1"/>
    <col min="15" max="15" width="14.7109375" style="16" customWidth="1"/>
    <col min="16" max="16" width="15.140625" style="16" customWidth="1"/>
    <col min="17" max="17" width="18.5703125" style="16" customWidth="1"/>
    <col min="18" max="16384" width="11.42578125" style="16"/>
  </cols>
  <sheetData>
    <row r="1" spans="3:19" s="100" customFormat="1" ht="30" customHeight="1" x14ac:dyDescent="0.25"/>
    <row r="2" spans="3:19" ht="15" customHeight="1" x14ac:dyDescent="0.25"/>
    <row r="4" spans="3:19" x14ac:dyDescent="0.25">
      <c r="G4" s="17"/>
    </row>
    <row r="5" spans="3:19" x14ac:dyDescent="0.25">
      <c r="H5" s="17"/>
      <c r="N5" s="19"/>
      <c r="O5" s="19"/>
      <c r="P5" s="18"/>
    </row>
    <row r="6" spans="3:19" ht="15.75" x14ac:dyDescent="0.25">
      <c r="C6" s="86" t="s">
        <v>16</v>
      </c>
      <c r="D6" s="86"/>
      <c r="E6" s="86"/>
      <c r="F6" s="86"/>
      <c r="G6" s="86"/>
      <c r="H6" s="86"/>
      <c r="K6" s="86" t="s">
        <v>17</v>
      </c>
      <c r="L6" s="86"/>
      <c r="M6" s="86"/>
      <c r="N6" s="86"/>
      <c r="O6" s="86"/>
      <c r="P6" s="86"/>
      <c r="Q6" s="86"/>
      <c r="R6" s="86"/>
      <c r="S6" s="20"/>
    </row>
    <row r="7" spans="3:19" x14ac:dyDescent="0.25">
      <c r="C7" s="21" t="s">
        <v>13</v>
      </c>
      <c r="D7" s="22">
        <v>42325</v>
      </c>
      <c r="E7" s="21"/>
      <c r="F7" s="79"/>
      <c r="G7" s="79"/>
      <c r="H7" s="79"/>
      <c r="K7" s="21" t="s">
        <v>13</v>
      </c>
      <c r="L7" s="22">
        <f>D7</f>
        <v>42325</v>
      </c>
      <c r="M7" s="21"/>
      <c r="N7" s="79"/>
      <c r="O7" s="79"/>
      <c r="P7" s="79"/>
      <c r="R7" s="21"/>
      <c r="S7" s="20"/>
    </row>
    <row r="8" spans="3:19" ht="15.75" thickBot="1" x14ac:dyDescent="0.3">
      <c r="C8" s="23"/>
      <c r="D8" s="24"/>
      <c r="E8" s="24"/>
      <c r="F8" s="24"/>
      <c r="G8" s="24"/>
      <c r="H8" s="24"/>
      <c r="I8" s="25"/>
      <c r="K8" s="23"/>
      <c r="L8" s="24"/>
      <c r="M8" s="24"/>
      <c r="N8" s="24"/>
      <c r="O8" s="24"/>
      <c r="P8" s="24"/>
      <c r="Q8" s="24"/>
      <c r="R8" s="24"/>
      <c r="S8" s="20"/>
    </row>
    <row r="9" spans="3:19" ht="15.75" customHeight="1" thickTop="1" x14ac:dyDescent="0.25">
      <c r="C9" s="26"/>
      <c r="D9" s="27"/>
      <c r="E9" s="76" t="s">
        <v>18</v>
      </c>
      <c r="F9" s="76" t="s">
        <v>11</v>
      </c>
      <c r="G9" s="28"/>
      <c r="H9" s="94"/>
      <c r="I9" s="25"/>
      <c r="K9" s="26"/>
      <c r="L9" s="27"/>
      <c r="M9" s="76" t="s">
        <v>18</v>
      </c>
      <c r="N9" s="76" t="s">
        <v>11</v>
      </c>
      <c r="O9" s="28"/>
      <c r="P9" s="76" t="s">
        <v>14</v>
      </c>
      <c r="Q9" s="76" t="s">
        <v>12</v>
      </c>
      <c r="R9" s="29"/>
      <c r="S9" s="20"/>
    </row>
    <row r="10" spans="3:19" x14ac:dyDescent="0.25">
      <c r="C10" s="30"/>
      <c r="D10" s="20"/>
      <c r="E10" s="77"/>
      <c r="F10" s="77"/>
      <c r="G10" s="31" t="s">
        <v>3</v>
      </c>
      <c r="H10" s="95"/>
      <c r="I10" s="25"/>
      <c r="K10" s="30"/>
      <c r="L10" s="20"/>
      <c r="M10" s="77" t="s">
        <v>10</v>
      </c>
      <c r="N10" s="77"/>
      <c r="O10" s="31" t="s">
        <v>3</v>
      </c>
      <c r="P10" s="77"/>
      <c r="Q10" s="77"/>
      <c r="R10" s="32"/>
      <c r="S10" s="20"/>
    </row>
    <row r="11" spans="3:19" x14ac:dyDescent="0.25">
      <c r="C11" s="30"/>
      <c r="D11" s="20"/>
      <c r="E11" s="78"/>
      <c r="F11" s="78"/>
      <c r="G11" s="31"/>
      <c r="H11" s="95"/>
      <c r="I11" s="25"/>
      <c r="K11" s="30"/>
      <c r="L11" s="20"/>
      <c r="M11" s="78" t="s">
        <v>9</v>
      </c>
      <c r="N11" s="78"/>
      <c r="O11" s="31"/>
      <c r="P11" s="78"/>
      <c r="Q11" s="78"/>
      <c r="R11" s="32"/>
      <c r="S11" s="20"/>
    </row>
    <row r="12" spans="3:19" x14ac:dyDescent="0.25">
      <c r="C12" s="33"/>
      <c r="D12" s="34" t="str">
        <f t="shared" ref="D12:D21" si="0">L12</f>
        <v>Tenaris</v>
      </c>
      <c r="E12" s="35">
        <v>0.8</v>
      </c>
      <c r="F12" s="36">
        <f>IF(D7="",0,VLOOKUP($L$7,Cotizaciones,5,FALSE))</f>
        <v>9.7572585367749105E-3</v>
      </c>
      <c r="G12" s="36">
        <f>IF($L$7="",0,VLOOKUP($L$7,Cotizaciones,6,FALSE))</f>
        <v>1.5106221924611498E-8</v>
      </c>
      <c r="H12" s="37"/>
      <c r="I12" s="25"/>
      <c r="K12" s="33"/>
      <c r="L12" s="34" t="str">
        <f>'Cantidad de Acciones'!D6</f>
        <v>Tenaris</v>
      </c>
      <c r="M12" s="35">
        <v>0.92000099999999996</v>
      </c>
      <c r="N12" s="36">
        <f>IF(L7="",0,VLOOKUP($L$7,Cotizaciones,5,FALSE))</f>
        <v>9.7572585367749105E-3</v>
      </c>
      <c r="O12" s="36">
        <f>IF($L$7="",0,VLOOKUP($L$7,Cotizaciones,6,FALSE))</f>
        <v>1.5106221924611498E-8</v>
      </c>
      <c r="P12" s="38">
        <v>0.9</v>
      </c>
      <c r="Q12" s="38">
        <v>1</v>
      </c>
      <c r="R12" s="32"/>
      <c r="S12" s="20"/>
    </row>
    <row r="13" spans="3:19" x14ac:dyDescent="0.25">
      <c r="C13" s="33"/>
      <c r="D13" s="34" t="str">
        <f t="shared" si="0"/>
        <v>Galicia</v>
      </c>
      <c r="E13" s="35">
        <v>0.2</v>
      </c>
      <c r="F13" s="36">
        <f>IF(D7="",0,VLOOKUP($L$7,Cotizaciones,10,FALSE))</f>
        <v>0.15788568257491675</v>
      </c>
      <c r="G13" s="36">
        <f>IF($L$7="",0,VLOOKUP($L$7,Cotizaciones,11,FALSE))</f>
        <v>0.11852357461532603</v>
      </c>
      <c r="H13" s="37"/>
      <c r="I13" s="25"/>
      <c r="K13" s="33"/>
      <c r="L13" s="34" t="str">
        <f>'Cantidad de Acciones'!D7</f>
        <v>Galicia</v>
      </c>
      <c r="M13" s="35">
        <v>0.08</v>
      </c>
      <c r="N13" s="36">
        <f>IF(L7="",0,VLOOKUP($L$7,Cotizaciones,10,FALSE))</f>
        <v>0.15788568257491675</v>
      </c>
      <c r="O13" s="36">
        <f>IF($L$7="",0,VLOOKUP($L$7,Cotizaciones,11,FALSE))</f>
        <v>0.11852357461532603</v>
      </c>
      <c r="P13" s="38">
        <v>0.08</v>
      </c>
      <c r="Q13" s="38">
        <v>1</v>
      </c>
      <c r="R13" s="32"/>
      <c r="S13" s="39"/>
    </row>
    <row r="14" spans="3:19" x14ac:dyDescent="0.25">
      <c r="C14" s="33"/>
      <c r="D14" s="34" t="str">
        <f t="shared" si="0"/>
        <v>YPF</v>
      </c>
      <c r="E14" s="35">
        <v>0</v>
      </c>
      <c r="F14" s="36">
        <f>IF(D7="",0,VLOOKUP($L$7,Cotizaciones,15,FALSE))</f>
        <v>0</v>
      </c>
      <c r="G14" s="36">
        <f>IF($L$7="",0,VLOOKUP($L$7,Cotizaciones,16,FALSE))</f>
        <v>0</v>
      </c>
      <c r="H14" s="37"/>
      <c r="I14" s="25"/>
      <c r="K14" s="33"/>
      <c r="L14" s="34" t="str">
        <f>'Cantidad de Acciones'!D8</f>
        <v>YPF</v>
      </c>
      <c r="M14" s="35">
        <v>0</v>
      </c>
      <c r="N14" s="36">
        <f>IF(L7="",0,VLOOKUP($L$7,Cotizaciones,15,FALSE))</f>
        <v>0</v>
      </c>
      <c r="O14" s="36">
        <f>IF($L$7="",0,VLOOKUP($L$7,Cotizaciones,16,FALSE))</f>
        <v>0</v>
      </c>
      <c r="P14" s="38">
        <v>0</v>
      </c>
      <c r="Q14" s="38">
        <v>0</v>
      </c>
      <c r="R14" s="32"/>
      <c r="S14" s="39"/>
    </row>
    <row r="15" spans="3:19" x14ac:dyDescent="0.25">
      <c r="C15" s="33"/>
      <c r="D15" s="34" t="str">
        <f t="shared" si="0"/>
        <v>Edenor</v>
      </c>
      <c r="E15" s="35">
        <v>0</v>
      </c>
      <c r="F15" s="36">
        <f>IF(D7="",0,VLOOKUP($L$7,Cotizaciones,20,FALSE))</f>
        <v>0</v>
      </c>
      <c r="G15" s="36">
        <f>IF($L$7="",0,VLOOKUP($L$7,Cotizaciones,21,FALSE))</f>
        <v>0</v>
      </c>
      <c r="H15" s="37"/>
      <c r="I15" s="25"/>
      <c r="K15" s="33"/>
      <c r="L15" s="34" t="str">
        <f>'Cantidad de Acciones'!D9</f>
        <v>Edenor</v>
      </c>
      <c r="M15" s="35">
        <v>0</v>
      </c>
      <c r="N15" s="36">
        <f>IF(L7="",0,VLOOKUP($L$7,Cotizaciones,20,FALSE))</f>
        <v>0</v>
      </c>
      <c r="O15" s="36">
        <f>IF($L$7="",0,VLOOKUP($L$7,Cotizaciones,21,FALSE))</f>
        <v>0</v>
      </c>
      <c r="P15" s="38">
        <v>0</v>
      </c>
      <c r="Q15" s="38">
        <v>0</v>
      </c>
      <c r="R15" s="32"/>
      <c r="S15" s="39"/>
    </row>
    <row r="16" spans="3:19" x14ac:dyDescent="0.25">
      <c r="C16" s="33"/>
      <c r="D16" s="34" t="str">
        <f t="shared" si="0"/>
        <v>PESA</v>
      </c>
      <c r="E16" s="35">
        <v>0</v>
      </c>
      <c r="F16" s="36">
        <f>IF($L$7="",0,VLOOKUP($L$7,Cotizaciones,25,FALSE))</f>
        <v>0</v>
      </c>
      <c r="G16" s="36">
        <f>IF($L$7="",0,VLOOKUP($L$7,Cotizaciones,26,FALSE))</f>
        <v>0</v>
      </c>
      <c r="H16" s="37"/>
      <c r="I16" s="25"/>
      <c r="K16" s="33"/>
      <c r="L16" s="34" t="str">
        <f>'Cantidad de Acciones'!D10</f>
        <v>PESA</v>
      </c>
      <c r="M16" s="35">
        <v>0</v>
      </c>
      <c r="N16" s="36">
        <f>IF($L$7="",0,VLOOKUP($L$7,Cotizaciones,25,FALSE))</f>
        <v>0</v>
      </c>
      <c r="O16" s="36">
        <f>IF($L$7="",0,VLOOKUP($L$7,Cotizaciones,26,FALSE))</f>
        <v>0</v>
      </c>
      <c r="P16" s="38">
        <v>0</v>
      </c>
      <c r="Q16" s="38">
        <v>0</v>
      </c>
      <c r="R16" s="32"/>
      <c r="S16" s="39"/>
    </row>
    <row r="17" spans="2:19" hidden="1" x14ac:dyDescent="0.25">
      <c r="C17" s="33"/>
      <c r="D17" s="34">
        <f t="shared" si="0"/>
        <v>6</v>
      </c>
      <c r="E17" s="35">
        <v>0</v>
      </c>
      <c r="F17" s="36">
        <f>IF($L$7="",0,VLOOKUP($L$7,Cotizaciones,30,FALSE))</f>
        <v>0</v>
      </c>
      <c r="G17" s="36">
        <f>IF($L$7="",0,VLOOKUP($L$7,Cotizaciones,31,FALSE))</f>
        <v>0</v>
      </c>
      <c r="H17" s="37"/>
      <c r="I17" s="25"/>
      <c r="K17" s="33"/>
      <c r="L17" s="34">
        <f>'Cantidad de Acciones'!D11</f>
        <v>6</v>
      </c>
      <c r="M17" s="35">
        <v>0</v>
      </c>
      <c r="N17" s="36">
        <f>IF($L$7="",0,VLOOKUP($L$7,Cotizaciones,30,FALSE))</f>
        <v>0</v>
      </c>
      <c r="O17" s="36">
        <f>IF($L$7="",0,VLOOKUP($L$7,Cotizaciones,31,FALSE))</f>
        <v>0</v>
      </c>
      <c r="P17" s="38">
        <v>0</v>
      </c>
      <c r="Q17" s="38">
        <v>0</v>
      </c>
      <c r="R17" s="32"/>
      <c r="S17" s="39"/>
    </row>
    <row r="18" spans="2:19" hidden="1" x14ac:dyDescent="0.25">
      <c r="C18" s="33"/>
      <c r="D18" s="34">
        <f t="shared" si="0"/>
        <v>7</v>
      </c>
      <c r="E18" s="35">
        <v>0</v>
      </c>
      <c r="F18" s="36">
        <f>IF($L$7="",0,VLOOKUP($L$7,Cotizaciones,35,FALSE))</f>
        <v>0</v>
      </c>
      <c r="G18" s="36">
        <f>IF($L$7="",0,VLOOKUP($L$7,Cotizaciones,36,FALSE))</f>
        <v>0</v>
      </c>
      <c r="H18" s="37"/>
      <c r="I18" s="25"/>
      <c r="K18" s="33"/>
      <c r="L18" s="34">
        <f>'Cantidad de Acciones'!D12</f>
        <v>7</v>
      </c>
      <c r="M18" s="35">
        <v>0</v>
      </c>
      <c r="N18" s="36">
        <f>IF($L$7="",0,VLOOKUP($L$7,Cotizaciones,35,FALSE))</f>
        <v>0</v>
      </c>
      <c r="O18" s="36">
        <f>IF($L$7="",0,VLOOKUP($L$7,Cotizaciones,36,FALSE))</f>
        <v>0</v>
      </c>
      <c r="P18" s="38">
        <v>0</v>
      </c>
      <c r="Q18" s="38">
        <v>0</v>
      </c>
      <c r="R18" s="32"/>
      <c r="S18" s="39"/>
    </row>
    <row r="19" spans="2:19" hidden="1" x14ac:dyDescent="0.25">
      <c r="C19" s="33"/>
      <c r="D19" s="34">
        <f t="shared" si="0"/>
        <v>8</v>
      </c>
      <c r="E19" s="35">
        <v>0</v>
      </c>
      <c r="F19" s="36">
        <f>IF($L$7="",0,VLOOKUP($L$7,Cotizaciones,40,FALSE))</f>
        <v>0</v>
      </c>
      <c r="G19" s="36">
        <f>IF($L$7="",0,VLOOKUP($L$7,Cotizaciones,41,FALSE))</f>
        <v>0</v>
      </c>
      <c r="H19" s="37"/>
      <c r="I19" s="25"/>
      <c r="K19" s="33"/>
      <c r="L19" s="34">
        <f>'Cantidad de Acciones'!D13</f>
        <v>8</v>
      </c>
      <c r="M19" s="35">
        <v>0</v>
      </c>
      <c r="N19" s="36">
        <f>IF($L$7="",0,VLOOKUP($L$7,Cotizaciones,40,FALSE))</f>
        <v>0</v>
      </c>
      <c r="O19" s="36">
        <f>IF($L$7="",0,VLOOKUP($L$7,Cotizaciones,41,FALSE))</f>
        <v>0</v>
      </c>
      <c r="P19" s="38">
        <v>0</v>
      </c>
      <c r="Q19" s="38">
        <v>0</v>
      </c>
      <c r="R19" s="32"/>
      <c r="S19" s="39"/>
    </row>
    <row r="20" spans="2:19" hidden="1" x14ac:dyDescent="0.25">
      <c r="C20" s="33"/>
      <c r="D20" s="34">
        <f t="shared" si="0"/>
        <v>9</v>
      </c>
      <c r="E20" s="35">
        <v>0</v>
      </c>
      <c r="F20" s="36">
        <f>IF($L$7="",0,VLOOKUP($L$7,Cotizaciones,45,FALSE))</f>
        <v>0</v>
      </c>
      <c r="G20" s="36">
        <f>IF($L$7="",0,VLOOKUP($L$7,Cotizaciones,46,FALSE))</f>
        <v>0</v>
      </c>
      <c r="H20" s="37"/>
      <c r="I20" s="25"/>
      <c r="K20" s="33"/>
      <c r="L20" s="34">
        <f>'Cantidad de Acciones'!D14</f>
        <v>9</v>
      </c>
      <c r="M20" s="35">
        <v>0</v>
      </c>
      <c r="N20" s="36">
        <f>IF($L$7="",0,VLOOKUP($L$7,Cotizaciones,45,FALSE))</f>
        <v>0</v>
      </c>
      <c r="O20" s="36">
        <f>IF($L$7="",0,VLOOKUP($L$7,Cotizaciones,46,FALSE))</f>
        <v>0</v>
      </c>
      <c r="P20" s="38">
        <v>0</v>
      </c>
      <c r="Q20" s="38">
        <v>0</v>
      </c>
      <c r="R20" s="32"/>
      <c r="S20" s="39"/>
    </row>
    <row r="21" spans="2:19" hidden="1" x14ac:dyDescent="0.25">
      <c r="C21" s="33"/>
      <c r="D21" s="34">
        <f t="shared" si="0"/>
        <v>10</v>
      </c>
      <c r="E21" s="35">
        <v>0</v>
      </c>
      <c r="F21" s="36">
        <f>IF($L$7="",0,VLOOKUP($L$7,Cotizaciones,50,FALSE))</f>
        <v>0</v>
      </c>
      <c r="G21" s="36">
        <f>IF($L$7="",0,VLOOKUP($L$7,Cotizaciones,51,FALSE))</f>
        <v>0</v>
      </c>
      <c r="H21" s="37"/>
      <c r="I21" s="25"/>
      <c r="K21" s="33"/>
      <c r="L21" s="40">
        <f>'Cantidad de Acciones'!D15</f>
        <v>10</v>
      </c>
      <c r="M21" s="35">
        <v>0</v>
      </c>
      <c r="N21" s="36">
        <f>IF($L$7="",0,VLOOKUP($L$7,Cotizaciones,50,FALSE))</f>
        <v>0</v>
      </c>
      <c r="O21" s="36">
        <f>IF($L$7="",0,VLOOKUP($L$7,Cotizaciones,51,FALSE))</f>
        <v>0</v>
      </c>
      <c r="P21" s="38">
        <v>0</v>
      </c>
      <c r="Q21" s="38">
        <v>0</v>
      </c>
      <c r="R21" s="32"/>
      <c r="S21" s="41"/>
    </row>
    <row r="22" spans="2:19" ht="15.75" thickBot="1" x14ac:dyDescent="0.3">
      <c r="C22" s="42"/>
      <c r="D22" s="43"/>
      <c r="E22" s="44"/>
      <c r="F22" s="45"/>
      <c r="G22" s="45"/>
      <c r="H22" s="46"/>
      <c r="I22" s="25"/>
      <c r="K22" s="42"/>
      <c r="L22" s="43"/>
      <c r="M22" s="96">
        <f>SUM(M12:M21)</f>
        <v>1.0000009999999999</v>
      </c>
      <c r="N22" s="97">
        <v>1</v>
      </c>
      <c r="O22" s="45"/>
      <c r="P22" s="48"/>
      <c r="Q22" s="49"/>
      <c r="R22" s="50"/>
      <c r="S22" s="41"/>
    </row>
    <row r="23" spans="2:19" ht="15.75" thickTop="1" x14ac:dyDescent="0.25">
      <c r="B23" s="51"/>
      <c r="C23" s="51"/>
      <c r="D23" s="52"/>
      <c r="E23" s="53"/>
      <c r="F23" s="51"/>
      <c r="G23" s="51"/>
      <c r="H23" s="47"/>
      <c r="I23" s="25"/>
    </row>
    <row r="25" spans="2:19" ht="15.75" thickBot="1" x14ac:dyDescent="0.3">
      <c r="C25" s="93" t="s">
        <v>19</v>
      </c>
      <c r="D25" s="93"/>
      <c r="E25" s="93"/>
      <c r="H25" s="81" t="s">
        <v>21</v>
      </c>
      <c r="I25" s="81"/>
      <c r="J25" s="81"/>
      <c r="K25" s="56"/>
      <c r="L25" s="19"/>
      <c r="M25" s="19"/>
      <c r="N25" s="80" t="s">
        <v>20</v>
      </c>
      <c r="O25" s="80"/>
      <c r="P25" s="80"/>
    </row>
    <row r="26" spans="2:19" ht="15.75" thickTop="1" x14ac:dyDescent="0.25">
      <c r="C26" s="89" t="s">
        <v>7</v>
      </c>
      <c r="D26" s="90"/>
      <c r="E26" s="54">
        <f>IF(D7="","",SUMPRODUCT(E12:E21,F12:F21))</f>
        <v>3.938294334440328E-2</v>
      </c>
      <c r="H26" s="64" t="s">
        <v>2</v>
      </c>
      <c r="I26" s="65">
        <f>P26-E26</f>
        <v>-1.7775401127318485E-2</v>
      </c>
      <c r="J26" s="66" t="str">
        <f>IF(I26&gt;0,"La cartera optima tiene mayor rendimiento que la actual", "La cartera actual tiene mayor rendimiento que la óptïma")</f>
        <v>La cartera actual tiene mayor rendimiento que la óptïma</v>
      </c>
      <c r="K26" s="62"/>
      <c r="L26" s="62"/>
      <c r="M26" s="63"/>
      <c r="N26" s="82" t="s">
        <v>28</v>
      </c>
      <c r="O26" s="83"/>
      <c r="P26" s="57">
        <f>IF(L7="","",SUMPRODUCT(M12:M21,N12:N21))</f>
        <v>2.1607542217084795E-2</v>
      </c>
    </row>
    <row r="27" spans="2:19" ht="15.75" thickBot="1" x14ac:dyDescent="0.3">
      <c r="C27" s="91" t="s">
        <v>8</v>
      </c>
      <c r="D27" s="92"/>
      <c r="E27" s="55">
        <f>IF(D7="","",IF(ISERROR((E12^2)*G12+(E13^2)*G13+(E14^2)*G14+(E15^2)*G15+(E16^2)*G16+(E17^2)*G17+(E18^2)*G18+(E19^2)*G19+(E20^2)*G20+(E21^2)*G21),"",(E12^2)*G12+(E13^2)*G13+(E14^2)*G14+(E15^2)*G15+(E16^2)*G16+(E17^2)*G17+(E18^2)*G18+(E19^2)*G19+(E20^2)*G20+(E21^2)*G21))</f>
        <v>4.740952652595074E-3</v>
      </c>
      <c r="H27" s="67" t="s">
        <v>3</v>
      </c>
      <c r="I27" s="65">
        <f>P27-E27</f>
        <v>-3.9823889891229553E-3</v>
      </c>
      <c r="J27" s="68" t="str">
        <f>IF(I27&gt;0,"La cartera optima tiene mayor menor riesgo que la actual", "La cartera actual tiene mayor riesgo que la óptïma")</f>
        <v>La cartera actual tiene mayor riesgo que la óptïma</v>
      </c>
      <c r="K27" s="60"/>
      <c r="L27" s="61"/>
      <c r="M27" s="61"/>
      <c r="N27" s="87" t="s">
        <v>8</v>
      </c>
      <c r="O27" s="88"/>
      <c r="P27" s="58">
        <f>IF(L7="","",IF(ISERROR((M12^2)*O12+(M13^2)*O13+(M14^2)*O14+(M15^2)*O15+(M16^2)*O16+(M17^2)*O17+(M18^2)*O18+(M19^2)*O19+(M20^2)*O20+(M21^2)*O21),"",(M12^2)*O12+(M13^2)*O13+(M14^2)*O14+(M15^2)*O15+(M16^2)*O16+(M17^2)*O17+(M18^2)*O18+(M19^2)*O19+(M20^2)*O20+(M21^2)*O21))</f>
        <v>7.5856366347211912E-4</v>
      </c>
    </row>
    <row r="28" spans="2:19" ht="15.75" thickBot="1" x14ac:dyDescent="0.3">
      <c r="N28" s="84" t="s">
        <v>15</v>
      </c>
      <c r="O28" s="85"/>
      <c r="P28" s="59">
        <v>0.01</v>
      </c>
    </row>
    <row r="29" spans="2:19" ht="15.75" thickTop="1" x14ac:dyDescent="0.25"/>
  </sheetData>
  <mergeCells count="19">
    <mergeCell ref="N26:O26"/>
    <mergeCell ref="N28:O28"/>
    <mergeCell ref="C6:H6"/>
    <mergeCell ref="E9:E11"/>
    <mergeCell ref="M9:M11"/>
    <mergeCell ref="N27:O27"/>
    <mergeCell ref="C26:D26"/>
    <mergeCell ref="C27:D27"/>
    <mergeCell ref="C25:E25"/>
    <mergeCell ref="F7:H7"/>
    <mergeCell ref="F9:F11"/>
    <mergeCell ref="H9:H11"/>
    <mergeCell ref="K6:R6"/>
    <mergeCell ref="P9:P11"/>
    <mergeCell ref="Q9:Q11"/>
    <mergeCell ref="N7:P7"/>
    <mergeCell ref="N9:N11"/>
    <mergeCell ref="N25:P25"/>
    <mergeCell ref="H25:J25"/>
  </mergeCells>
  <conditionalFormatting sqref="P27 N12:O12 N13:N19 O13:O21 E27 P5">
    <cfRule type="expression" dxfId="8" priority="19" stopIfTrue="1">
      <formula>E5=0</formula>
    </cfRule>
  </conditionalFormatting>
  <conditionalFormatting sqref="N20">
    <cfRule type="expression" dxfId="7" priority="18" stopIfTrue="1">
      <formula>N20=0</formula>
    </cfRule>
  </conditionalFormatting>
  <conditionalFormatting sqref="N21">
    <cfRule type="expression" dxfId="6" priority="17" stopIfTrue="1">
      <formula>N21=0</formula>
    </cfRule>
  </conditionalFormatting>
  <conditionalFormatting sqref="P26">
    <cfRule type="expression" dxfId="5" priority="8" stopIfTrue="1">
      <formula>P26=0</formula>
    </cfRule>
  </conditionalFormatting>
  <conditionalFormatting sqref="F12:G12 F13:F19 G13:G21">
    <cfRule type="expression" dxfId="4" priority="7" stopIfTrue="1">
      <formula>F12=0</formula>
    </cfRule>
  </conditionalFormatting>
  <conditionalFormatting sqref="F20">
    <cfRule type="expression" dxfId="1" priority="6" stopIfTrue="1">
      <formula>F20=0</formula>
    </cfRule>
  </conditionalFormatting>
  <conditionalFormatting sqref="F21">
    <cfRule type="expression" dxfId="3" priority="5" stopIfTrue="1">
      <formula>F21=0</formula>
    </cfRule>
  </conditionalFormatting>
  <conditionalFormatting sqref="E26">
    <cfRule type="expression" dxfId="2" priority="3" stopIfTrue="1">
      <formula>E26=0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S29"/>
  <sheetViews>
    <sheetView showGridLines="0" zoomScale="90" zoomScaleNormal="90" workbookViewId="0">
      <selection activeCell="I5" sqref="I5"/>
    </sheetView>
  </sheetViews>
  <sheetFormatPr baseColWidth="10" defaultRowHeight="15" x14ac:dyDescent="0.25"/>
  <cols>
    <col min="1" max="1" width="1.85546875" style="16" customWidth="1"/>
    <col min="2" max="3" width="15.7109375" style="16" bestFit="1" customWidth="1"/>
    <col min="4" max="4" width="13.42578125" style="16" customWidth="1"/>
    <col min="5" max="5" width="15" style="16" customWidth="1"/>
    <col min="6" max="6" width="14.5703125" style="16" customWidth="1"/>
    <col min="7" max="7" width="15.5703125" style="16" customWidth="1"/>
    <col min="8" max="8" width="11.85546875" style="16" customWidth="1"/>
    <col min="9" max="9" width="13.5703125" style="16" customWidth="1"/>
    <col min="10" max="10" width="13.28515625" style="16" customWidth="1"/>
    <col min="11" max="11" width="18.7109375" style="16" customWidth="1"/>
    <col min="12" max="12" width="11.42578125" style="16"/>
    <col min="13" max="13" width="25.42578125" style="16" bestFit="1" customWidth="1"/>
    <col min="14" max="14" width="21.28515625" style="16" bestFit="1" customWidth="1"/>
    <col min="15" max="15" width="14.7109375" style="16" customWidth="1"/>
    <col min="16" max="16" width="15.140625" style="16" customWidth="1"/>
    <col min="17" max="17" width="18.5703125" style="16" customWidth="1"/>
    <col min="18" max="16384" width="11.42578125" style="16"/>
  </cols>
  <sheetData>
    <row r="1" spans="3:19" s="100" customFormat="1" ht="30" customHeight="1" x14ac:dyDescent="0.25"/>
    <row r="2" spans="3:19" ht="15" customHeight="1" x14ac:dyDescent="0.25"/>
    <row r="4" spans="3:19" x14ac:dyDescent="0.25">
      <c r="G4" s="17"/>
    </row>
    <row r="5" spans="3:19" x14ac:dyDescent="0.25">
      <c r="H5" s="17"/>
      <c r="N5" s="19"/>
      <c r="O5" s="19"/>
      <c r="P5" s="18"/>
    </row>
    <row r="6" spans="3:19" ht="15.75" x14ac:dyDescent="0.25">
      <c r="C6" s="86" t="s">
        <v>16</v>
      </c>
      <c r="D6" s="86"/>
      <c r="E6" s="86"/>
      <c r="F6" s="86"/>
      <c r="G6" s="86"/>
      <c r="H6" s="86"/>
      <c r="K6" s="86" t="s">
        <v>27</v>
      </c>
      <c r="L6" s="86"/>
      <c r="M6" s="86"/>
      <c r="N6" s="86"/>
      <c r="O6" s="86"/>
      <c r="P6" s="86"/>
      <c r="Q6" s="86"/>
      <c r="R6" s="86"/>
      <c r="S6" s="20"/>
    </row>
    <row r="7" spans="3:19" x14ac:dyDescent="0.25">
      <c r="C7" s="21" t="s">
        <v>13</v>
      </c>
      <c r="D7" s="22">
        <v>42325</v>
      </c>
      <c r="E7" s="21"/>
      <c r="F7" s="79"/>
      <c r="G7" s="79"/>
      <c r="H7" s="79"/>
      <c r="K7" s="21" t="s">
        <v>13</v>
      </c>
      <c r="L7" s="22">
        <f>D7</f>
        <v>42325</v>
      </c>
      <c r="M7" s="21"/>
      <c r="N7" s="79"/>
      <c r="O7" s="79"/>
      <c r="P7" s="79"/>
      <c r="R7" s="21"/>
      <c r="S7" s="20"/>
    </row>
    <row r="8" spans="3:19" ht="15.75" thickBot="1" x14ac:dyDescent="0.3">
      <c r="C8" s="23"/>
      <c r="D8" s="24"/>
      <c r="E8" s="24"/>
      <c r="F8" s="24"/>
      <c r="G8" s="24"/>
      <c r="H8" s="24"/>
      <c r="I8" s="25"/>
      <c r="K8" s="23"/>
      <c r="L8" s="24"/>
      <c r="M8" s="24"/>
      <c r="N8" s="24"/>
      <c r="O8" s="24"/>
      <c r="P8" s="24"/>
      <c r="Q8" s="24"/>
      <c r="R8" s="24"/>
      <c r="S8" s="20"/>
    </row>
    <row r="9" spans="3:19" ht="15.75" customHeight="1" thickTop="1" x14ac:dyDescent="0.25">
      <c r="C9" s="26"/>
      <c r="D9" s="27"/>
      <c r="E9" s="76" t="s">
        <v>18</v>
      </c>
      <c r="F9" s="76" t="s">
        <v>11</v>
      </c>
      <c r="G9" s="28"/>
      <c r="H9" s="94"/>
      <c r="I9" s="25"/>
      <c r="K9" s="26"/>
      <c r="L9" s="27"/>
      <c r="M9" s="76" t="s">
        <v>18</v>
      </c>
      <c r="N9" s="76" t="s">
        <v>11</v>
      </c>
      <c r="O9" s="28"/>
      <c r="P9" s="76" t="s">
        <v>14</v>
      </c>
      <c r="Q9" s="76" t="s">
        <v>12</v>
      </c>
      <c r="R9" s="29"/>
      <c r="S9" s="20"/>
    </row>
    <row r="10" spans="3:19" x14ac:dyDescent="0.25">
      <c r="C10" s="30"/>
      <c r="D10" s="20"/>
      <c r="E10" s="77"/>
      <c r="F10" s="77"/>
      <c r="G10" s="31" t="s">
        <v>3</v>
      </c>
      <c r="H10" s="95"/>
      <c r="I10" s="25"/>
      <c r="K10" s="30"/>
      <c r="L10" s="20"/>
      <c r="M10" s="77" t="s">
        <v>10</v>
      </c>
      <c r="N10" s="77"/>
      <c r="O10" s="31" t="s">
        <v>3</v>
      </c>
      <c r="P10" s="77"/>
      <c r="Q10" s="77"/>
      <c r="R10" s="32"/>
      <c r="S10" s="20"/>
    </row>
    <row r="11" spans="3:19" x14ac:dyDescent="0.25">
      <c r="C11" s="30"/>
      <c r="D11" s="20"/>
      <c r="E11" s="78"/>
      <c r="F11" s="78"/>
      <c r="G11" s="31"/>
      <c r="H11" s="95"/>
      <c r="I11" s="25"/>
      <c r="K11" s="30"/>
      <c r="L11" s="20"/>
      <c r="M11" s="78" t="s">
        <v>9</v>
      </c>
      <c r="N11" s="78"/>
      <c r="O11" s="31"/>
      <c r="P11" s="78"/>
      <c r="Q11" s="78"/>
      <c r="R11" s="32"/>
      <c r="S11" s="20"/>
    </row>
    <row r="12" spans="3:19" x14ac:dyDescent="0.25">
      <c r="C12" s="33"/>
      <c r="D12" s="34" t="str">
        <f t="shared" ref="D12:D21" si="0">L12</f>
        <v>Tenaris</v>
      </c>
      <c r="E12" s="35">
        <v>0.5</v>
      </c>
      <c r="F12" s="36">
        <f>IF(D7="",0,VLOOKUP($L$7,Cotizaciones,5,FALSE))</f>
        <v>9.7572585367749105E-3</v>
      </c>
      <c r="G12" s="36">
        <f>IF($L$7="",0,VLOOKUP($L$7,Cotizaciones,6,FALSE))</f>
        <v>1.5106221924611498E-8</v>
      </c>
      <c r="H12" s="37"/>
      <c r="I12" s="25"/>
      <c r="K12" s="33"/>
      <c r="L12" s="34" t="str">
        <f>'Cantidad de Acciones'!D6</f>
        <v>Tenaris</v>
      </c>
      <c r="M12" s="35">
        <v>0.35049024011784891</v>
      </c>
      <c r="N12" s="36">
        <f>IF(L7="",0,VLOOKUP($L$7,Cotizaciones,5,FALSE))</f>
        <v>9.7572585367749105E-3</v>
      </c>
      <c r="O12" s="36">
        <f>IF($L$7="",0,VLOOKUP($L$7,Cotizaciones,6,FALSE))</f>
        <v>1.5106221924611498E-8</v>
      </c>
      <c r="P12" s="38">
        <v>0.3</v>
      </c>
      <c r="Q12" s="38">
        <v>1</v>
      </c>
      <c r="R12" s="32"/>
      <c r="S12" s="20"/>
    </row>
    <row r="13" spans="3:19" x14ac:dyDescent="0.25">
      <c r="C13" s="33"/>
      <c r="D13" s="34" t="str">
        <f t="shared" si="0"/>
        <v>Galicia</v>
      </c>
      <c r="E13" s="35">
        <v>0.5</v>
      </c>
      <c r="F13" s="36">
        <f>IF(D7="",0,VLOOKUP($L$7,Cotizaciones,10,FALSE))</f>
        <v>0.15788568257491675</v>
      </c>
      <c r="G13" s="36">
        <f>IF($L$7="",0,VLOOKUP($L$7,Cotizaciones,11,FALSE))</f>
        <v>0.11852357461532603</v>
      </c>
      <c r="H13" s="37"/>
      <c r="I13" s="25"/>
      <c r="K13" s="33"/>
      <c r="L13" s="34" t="str">
        <f>'Cantidad de Acciones'!D7</f>
        <v>Galicia</v>
      </c>
      <c r="M13" s="35">
        <v>0.64950975988215121</v>
      </c>
      <c r="N13" s="36">
        <f>IF(L7="",0,VLOOKUP($L$7,Cotizaciones,10,FALSE))</f>
        <v>0.15788568257491675</v>
      </c>
      <c r="O13" s="36">
        <f>IF($L$7="",0,VLOOKUP($L$7,Cotizaciones,11,FALSE))</f>
        <v>0.11852357461532603</v>
      </c>
      <c r="P13" s="38">
        <v>0.08</v>
      </c>
      <c r="Q13" s="38">
        <v>1</v>
      </c>
      <c r="R13" s="32"/>
      <c r="S13" s="39"/>
    </row>
    <row r="14" spans="3:19" x14ac:dyDescent="0.25">
      <c r="C14" s="33"/>
      <c r="D14" s="34" t="str">
        <f t="shared" si="0"/>
        <v>YPF</v>
      </c>
      <c r="E14" s="35">
        <v>0</v>
      </c>
      <c r="F14" s="36">
        <f>IF(D7="",0,VLOOKUP($L$7,Cotizaciones,15,FALSE))</f>
        <v>0</v>
      </c>
      <c r="G14" s="36">
        <f>IF($L$7="",0,VLOOKUP($L$7,Cotizaciones,16,FALSE))</f>
        <v>0</v>
      </c>
      <c r="H14" s="37"/>
      <c r="I14" s="25"/>
      <c r="K14" s="33"/>
      <c r="L14" s="34" t="str">
        <f>'Cantidad de Acciones'!D8</f>
        <v>YPF</v>
      </c>
      <c r="M14" s="35">
        <v>0</v>
      </c>
      <c r="N14" s="36">
        <f>IF(L7="",0,VLOOKUP($L$7,Cotizaciones,15,FALSE))</f>
        <v>0</v>
      </c>
      <c r="O14" s="36">
        <f>IF($L$7="",0,VLOOKUP($L$7,Cotizaciones,16,FALSE))</f>
        <v>0</v>
      </c>
      <c r="P14" s="38">
        <v>0</v>
      </c>
      <c r="Q14" s="38">
        <v>0</v>
      </c>
      <c r="R14" s="32"/>
      <c r="S14" s="39"/>
    </row>
    <row r="15" spans="3:19" x14ac:dyDescent="0.25">
      <c r="C15" s="33"/>
      <c r="D15" s="34" t="str">
        <f t="shared" si="0"/>
        <v>Edenor</v>
      </c>
      <c r="E15" s="35">
        <v>0</v>
      </c>
      <c r="F15" s="36">
        <f>IF(D7="",0,VLOOKUP($L$7,Cotizaciones,20,FALSE))</f>
        <v>0</v>
      </c>
      <c r="G15" s="36">
        <f>IF($L$7="",0,VLOOKUP($L$7,Cotizaciones,21,FALSE))</f>
        <v>0</v>
      </c>
      <c r="H15" s="37"/>
      <c r="I15" s="25"/>
      <c r="K15" s="33"/>
      <c r="L15" s="34" t="str">
        <f>'Cantidad de Acciones'!D9</f>
        <v>Edenor</v>
      </c>
      <c r="M15" s="35">
        <v>0</v>
      </c>
      <c r="N15" s="36">
        <f>IF(L7="",0,VLOOKUP($L$7,Cotizaciones,20,FALSE))</f>
        <v>0</v>
      </c>
      <c r="O15" s="36">
        <f>IF($L$7="",0,VLOOKUP($L$7,Cotizaciones,21,FALSE))</f>
        <v>0</v>
      </c>
      <c r="P15" s="38">
        <v>0</v>
      </c>
      <c r="Q15" s="38">
        <v>0</v>
      </c>
      <c r="R15" s="32"/>
      <c r="S15" s="39"/>
    </row>
    <row r="16" spans="3:19" x14ac:dyDescent="0.25">
      <c r="C16" s="33"/>
      <c r="D16" s="34" t="str">
        <f t="shared" si="0"/>
        <v>PESA</v>
      </c>
      <c r="E16" s="35">
        <v>0</v>
      </c>
      <c r="F16" s="36">
        <f>IF($L$7="",0,VLOOKUP($L$7,Cotizaciones,25,FALSE))</f>
        <v>0</v>
      </c>
      <c r="G16" s="36">
        <f>IF($L$7="",0,VLOOKUP($L$7,Cotizaciones,26,FALSE))</f>
        <v>0</v>
      </c>
      <c r="H16" s="37"/>
      <c r="I16" s="25"/>
      <c r="K16" s="33"/>
      <c r="L16" s="34" t="str">
        <f>'Cantidad de Acciones'!D10</f>
        <v>PESA</v>
      </c>
      <c r="M16" s="35">
        <v>0</v>
      </c>
      <c r="N16" s="36">
        <f>IF($L$7="",0,VLOOKUP($L$7,Cotizaciones,25,FALSE))</f>
        <v>0</v>
      </c>
      <c r="O16" s="36">
        <f>IF($L$7="",0,VLOOKUP($L$7,Cotizaciones,26,FALSE))</f>
        <v>0</v>
      </c>
      <c r="P16" s="38">
        <v>0</v>
      </c>
      <c r="Q16" s="38">
        <v>0</v>
      </c>
      <c r="R16" s="32"/>
      <c r="S16" s="39"/>
    </row>
    <row r="17" spans="2:19" hidden="1" x14ac:dyDescent="0.25">
      <c r="C17" s="33"/>
      <c r="D17" s="34">
        <f t="shared" si="0"/>
        <v>6</v>
      </c>
      <c r="E17" s="35">
        <v>0</v>
      </c>
      <c r="F17" s="36">
        <f>IF($L$7="",0,VLOOKUP($L$7,Cotizaciones,30,FALSE))</f>
        <v>0</v>
      </c>
      <c r="G17" s="36">
        <f>IF($L$7="",0,VLOOKUP($L$7,Cotizaciones,31,FALSE))</f>
        <v>0</v>
      </c>
      <c r="H17" s="37"/>
      <c r="I17" s="25"/>
      <c r="K17" s="33"/>
      <c r="L17" s="34">
        <f>'Cantidad de Acciones'!D11</f>
        <v>6</v>
      </c>
      <c r="M17" s="35">
        <v>0</v>
      </c>
      <c r="N17" s="36">
        <f>IF($L$7="",0,VLOOKUP($L$7,Cotizaciones,30,FALSE))</f>
        <v>0</v>
      </c>
      <c r="O17" s="36">
        <f>IF($L$7="",0,VLOOKUP($L$7,Cotizaciones,31,FALSE))</f>
        <v>0</v>
      </c>
      <c r="P17" s="38">
        <v>0</v>
      </c>
      <c r="Q17" s="38">
        <v>0</v>
      </c>
      <c r="R17" s="32"/>
      <c r="S17" s="39"/>
    </row>
    <row r="18" spans="2:19" hidden="1" x14ac:dyDescent="0.25">
      <c r="C18" s="33"/>
      <c r="D18" s="34">
        <f t="shared" si="0"/>
        <v>7</v>
      </c>
      <c r="E18" s="35">
        <v>0</v>
      </c>
      <c r="F18" s="36">
        <f>IF($L$7="",0,VLOOKUP($L$7,Cotizaciones,35,FALSE))</f>
        <v>0</v>
      </c>
      <c r="G18" s="36">
        <f>IF($L$7="",0,VLOOKUP($L$7,Cotizaciones,36,FALSE))</f>
        <v>0</v>
      </c>
      <c r="H18" s="37"/>
      <c r="I18" s="25"/>
      <c r="K18" s="33"/>
      <c r="L18" s="34">
        <f>'Cantidad de Acciones'!D12</f>
        <v>7</v>
      </c>
      <c r="M18" s="35">
        <v>0</v>
      </c>
      <c r="N18" s="36">
        <f>IF($L$7="",0,VLOOKUP($L$7,Cotizaciones,35,FALSE))</f>
        <v>0</v>
      </c>
      <c r="O18" s="36">
        <f>IF($L$7="",0,VLOOKUP($L$7,Cotizaciones,36,FALSE))</f>
        <v>0</v>
      </c>
      <c r="P18" s="38">
        <v>0</v>
      </c>
      <c r="Q18" s="38">
        <v>0</v>
      </c>
      <c r="R18" s="32"/>
      <c r="S18" s="39"/>
    </row>
    <row r="19" spans="2:19" hidden="1" x14ac:dyDescent="0.25">
      <c r="C19" s="33"/>
      <c r="D19" s="34">
        <f t="shared" si="0"/>
        <v>8</v>
      </c>
      <c r="E19" s="35">
        <v>0</v>
      </c>
      <c r="F19" s="36">
        <f>IF($L$7="",0,VLOOKUP($L$7,Cotizaciones,40,FALSE))</f>
        <v>0</v>
      </c>
      <c r="G19" s="36">
        <f>IF($L$7="",0,VLOOKUP($L$7,Cotizaciones,41,FALSE))</f>
        <v>0</v>
      </c>
      <c r="H19" s="37"/>
      <c r="I19" s="25"/>
      <c r="K19" s="33"/>
      <c r="L19" s="34">
        <f>'Cantidad de Acciones'!D13</f>
        <v>8</v>
      </c>
      <c r="M19" s="35">
        <v>0</v>
      </c>
      <c r="N19" s="36">
        <f>IF($L$7="",0,VLOOKUP($L$7,Cotizaciones,40,FALSE))</f>
        <v>0</v>
      </c>
      <c r="O19" s="36">
        <f>IF($L$7="",0,VLOOKUP($L$7,Cotizaciones,41,FALSE))</f>
        <v>0</v>
      </c>
      <c r="P19" s="38">
        <v>0</v>
      </c>
      <c r="Q19" s="38">
        <v>0</v>
      </c>
      <c r="R19" s="32"/>
      <c r="S19" s="39"/>
    </row>
    <row r="20" spans="2:19" hidden="1" x14ac:dyDescent="0.25">
      <c r="C20" s="33"/>
      <c r="D20" s="34">
        <f t="shared" si="0"/>
        <v>9</v>
      </c>
      <c r="E20" s="35">
        <v>0</v>
      </c>
      <c r="F20" s="36">
        <f>IF($L$7="",0,VLOOKUP($L$7,Cotizaciones,45,FALSE))</f>
        <v>0</v>
      </c>
      <c r="G20" s="36">
        <f>IF($L$7="",0,VLOOKUP($L$7,Cotizaciones,46,FALSE))</f>
        <v>0</v>
      </c>
      <c r="H20" s="37"/>
      <c r="I20" s="25"/>
      <c r="K20" s="33"/>
      <c r="L20" s="34">
        <f>'Cantidad de Acciones'!D14</f>
        <v>9</v>
      </c>
      <c r="M20" s="35">
        <v>0</v>
      </c>
      <c r="N20" s="36">
        <f>IF($L$7="",0,VLOOKUP($L$7,Cotizaciones,45,FALSE))</f>
        <v>0</v>
      </c>
      <c r="O20" s="36">
        <f>IF($L$7="",0,VLOOKUP($L$7,Cotizaciones,46,FALSE))</f>
        <v>0</v>
      </c>
      <c r="P20" s="38">
        <v>0</v>
      </c>
      <c r="Q20" s="38">
        <v>0</v>
      </c>
      <c r="R20" s="32"/>
      <c r="S20" s="39"/>
    </row>
    <row r="21" spans="2:19" hidden="1" x14ac:dyDescent="0.25">
      <c r="C21" s="33"/>
      <c r="D21" s="34">
        <f t="shared" si="0"/>
        <v>10</v>
      </c>
      <c r="E21" s="35">
        <v>0</v>
      </c>
      <c r="F21" s="36">
        <f>IF($L$7="",0,VLOOKUP($L$7,Cotizaciones,50,FALSE))</f>
        <v>0</v>
      </c>
      <c r="G21" s="36">
        <f>IF($L$7="",0,VLOOKUP($L$7,Cotizaciones,51,FALSE))</f>
        <v>0</v>
      </c>
      <c r="H21" s="37"/>
      <c r="I21" s="25"/>
      <c r="K21" s="33"/>
      <c r="L21" s="40">
        <f>'Cantidad de Acciones'!D15</f>
        <v>10</v>
      </c>
      <c r="M21" s="35">
        <v>0</v>
      </c>
      <c r="N21" s="36">
        <f>IF($L$7="",0,VLOOKUP($L$7,Cotizaciones,50,FALSE))</f>
        <v>0</v>
      </c>
      <c r="O21" s="36">
        <f>IF($L$7="",0,VLOOKUP($L$7,Cotizaciones,51,FALSE))</f>
        <v>0</v>
      </c>
      <c r="P21" s="38">
        <v>0</v>
      </c>
      <c r="Q21" s="38">
        <v>0</v>
      </c>
      <c r="R21" s="32"/>
      <c r="S21" s="41"/>
    </row>
    <row r="22" spans="2:19" ht="15.75" thickBot="1" x14ac:dyDescent="0.3">
      <c r="C22" s="42"/>
      <c r="D22" s="43"/>
      <c r="E22" s="44"/>
      <c r="F22" s="45"/>
      <c r="G22" s="45"/>
      <c r="H22" s="46"/>
      <c r="I22" s="25"/>
      <c r="K22" s="42"/>
      <c r="L22" s="43"/>
      <c r="M22" s="69">
        <f>SUM(M12:M21)</f>
        <v>1</v>
      </c>
      <c r="N22" s="69">
        <v>1</v>
      </c>
      <c r="O22" s="45"/>
      <c r="P22" s="48"/>
      <c r="Q22" s="49"/>
      <c r="R22" s="50"/>
      <c r="S22" s="41"/>
    </row>
    <row r="23" spans="2:19" ht="15.75" thickTop="1" x14ac:dyDescent="0.25">
      <c r="B23" s="51"/>
      <c r="C23" s="51"/>
      <c r="D23" s="52"/>
      <c r="E23" s="53"/>
      <c r="F23" s="51"/>
      <c r="G23" s="51"/>
      <c r="H23" s="47"/>
      <c r="I23" s="25"/>
    </row>
    <row r="25" spans="2:19" ht="15.75" thickBot="1" x14ac:dyDescent="0.3">
      <c r="C25" s="93" t="s">
        <v>19</v>
      </c>
      <c r="D25" s="93"/>
      <c r="E25" s="93"/>
      <c r="H25" s="81" t="s">
        <v>21</v>
      </c>
      <c r="I25" s="81"/>
      <c r="J25" s="81"/>
      <c r="K25" s="56"/>
      <c r="L25" s="19"/>
      <c r="M25" s="19"/>
      <c r="N25" s="80" t="s">
        <v>25</v>
      </c>
      <c r="O25" s="80"/>
      <c r="P25" s="80"/>
    </row>
    <row r="26" spans="2:19" ht="15.75" thickTop="1" x14ac:dyDescent="0.25">
      <c r="C26" s="89" t="s">
        <v>26</v>
      </c>
      <c r="D26" s="90"/>
      <c r="E26" s="54">
        <f>IF(D7="","",SUMPRODUCT(E12:E21,F12:F21))</f>
        <v>8.3821470555845837E-2</v>
      </c>
      <c r="H26" s="64" t="s">
        <v>2</v>
      </c>
      <c r="I26" s="65">
        <f>P26-E26</f>
        <v>2.2146645109664062E-2</v>
      </c>
      <c r="J26" s="66" t="str">
        <f>IF(I26&gt;0,"La cartera optima tiene mayor rendimiento que la actual", "La cartera actual tiene mayor rendimiento que la óptïma")</f>
        <v>La cartera optima tiene mayor rendimiento que la actual</v>
      </c>
      <c r="K26" s="62"/>
      <c r="L26" s="62"/>
      <c r="M26" s="63"/>
      <c r="N26" s="82" t="s">
        <v>24</v>
      </c>
      <c r="O26" s="83"/>
      <c r="P26" s="57">
        <f>IF(L7="","",SUMPRODUCT(M12:M21,N12:N21))</f>
        <v>0.1059681156655099</v>
      </c>
    </row>
    <row r="27" spans="2:19" ht="15.75" thickBot="1" x14ac:dyDescent="0.3">
      <c r="C27" s="91" t="s">
        <v>3</v>
      </c>
      <c r="D27" s="92"/>
      <c r="E27" s="55">
        <f>IF(D7="","",IF(ISERROR((E12^2)*G12+(E13^2)*G13+(E14^2)*G14+(E15^2)*G15+(E16^2)*G16+(E17^2)*G17+(E18^2)*G18+(E19^2)*G19+(E20^2)*G20+(E21^2)*G21),"",(E12^2)*G12+(E13^2)*G13+(E14^2)*G14+(E15^2)*G15+(E16^2)*G16+(E17^2)*G17+(E18^2)*G18+(E19^2)*G19+(E20^2)*G20+(E21^2)*G21))</f>
        <v>2.963089743038699E-2</v>
      </c>
      <c r="H27" s="67" t="s">
        <v>3</v>
      </c>
      <c r="I27" s="65">
        <f>P27-E27</f>
        <v>2.0369806671152114E-2</v>
      </c>
      <c r="J27" s="68" t="str">
        <f>IF(I27&gt;0,"La cartera optima tiene mayor menor riesgo que la actual", "La cartera actual tiene mayor riesgo que la óptïma")</f>
        <v>La cartera optima tiene mayor menor riesgo que la actual</v>
      </c>
      <c r="K27" s="60"/>
      <c r="L27" s="61"/>
      <c r="M27" s="61"/>
      <c r="N27" s="87" t="s">
        <v>23</v>
      </c>
      <c r="O27" s="88"/>
      <c r="P27" s="58">
        <f>IF(L7="","",IF(ISERROR((M12^2)*O12+(M13^2)*O13+(M14^2)*O14+(M15^2)*O15+(M16^2)*O16+(M17^2)*O17+(M18^2)*O18+(M19^2)*O19+(M20^2)*O20+(M21^2)*O21),"",(M12^2)*O12+(M13^2)*O13+(M14^2)*O14+(M15^2)*O15+(M16^2)*O16+(M17^2)*O17+(M18^2)*O18+(M19^2)*O19+(M20^2)*O20+(M21^2)*O21))</f>
        <v>5.0000704101539103E-2</v>
      </c>
    </row>
    <row r="28" spans="2:19" ht="15.75" thickBot="1" x14ac:dyDescent="0.3">
      <c r="N28" s="84" t="s">
        <v>22</v>
      </c>
      <c r="O28" s="85"/>
      <c r="P28" s="59">
        <v>0.05</v>
      </c>
    </row>
    <row r="29" spans="2:19" ht="15.75" thickTop="1" x14ac:dyDescent="0.25"/>
  </sheetData>
  <mergeCells count="19">
    <mergeCell ref="C27:D27"/>
    <mergeCell ref="N27:O27"/>
    <mergeCell ref="N28:O28"/>
    <mergeCell ref="Q9:Q11"/>
    <mergeCell ref="C25:E25"/>
    <mergeCell ref="H25:J25"/>
    <mergeCell ref="N25:P25"/>
    <mergeCell ref="C26:D26"/>
    <mergeCell ref="N26:O26"/>
    <mergeCell ref="C6:H6"/>
    <mergeCell ref="K6:R6"/>
    <mergeCell ref="F7:H7"/>
    <mergeCell ref="N7:P7"/>
    <mergeCell ref="E9:E11"/>
    <mergeCell ref="F9:F11"/>
    <mergeCell ref="H9:H11"/>
    <mergeCell ref="M9:M11"/>
    <mergeCell ref="N9:N11"/>
    <mergeCell ref="P9:P11"/>
  </mergeCells>
  <conditionalFormatting sqref="P27 N12:O12 N13:N19 O13:O21 E27 P5">
    <cfRule type="expression" dxfId="16" priority="8" stopIfTrue="1">
      <formula>E5=0</formula>
    </cfRule>
  </conditionalFormatting>
  <conditionalFormatting sqref="N20">
    <cfRule type="expression" dxfId="15" priority="7" stopIfTrue="1">
      <formula>N20=0</formula>
    </cfRule>
  </conditionalFormatting>
  <conditionalFormatting sqref="N21">
    <cfRule type="expression" dxfId="14" priority="6" stopIfTrue="1">
      <formula>N21=0</formula>
    </cfRule>
  </conditionalFormatting>
  <conditionalFormatting sqref="P26">
    <cfRule type="expression" dxfId="13" priority="5" stopIfTrue="1">
      <formula>P26=0</formula>
    </cfRule>
  </conditionalFormatting>
  <conditionalFormatting sqref="F12:G12 F13:F19 G13:G21">
    <cfRule type="expression" dxfId="12" priority="4" stopIfTrue="1">
      <formula>F12=0</formula>
    </cfRule>
  </conditionalFormatting>
  <conditionalFormatting sqref="F20">
    <cfRule type="expression" dxfId="11" priority="3" stopIfTrue="1">
      <formula>F20=0</formula>
    </cfRule>
  </conditionalFormatting>
  <conditionalFormatting sqref="F21">
    <cfRule type="expression" dxfId="10" priority="2" stopIfTrue="1">
      <formula>F21=0</formula>
    </cfRule>
  </conditionalFormatting>
  <conditionalFormatting sqref="E26">
    <cfRule type="expression" dxfId="9" priority="1" stopIfTrue="1">
      <formula>E26=0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Cantidad de Acciones</vt:lpstr>
      <vt:lpstr>Cotizaciones</vt:lpstr>
      <vt:lpstr>Riesgo Mínimo</vt:lpstr>
      <vt:lpstr>Rendimiento Máximo</vt:lpstr>
      <vt:lpstr>Cotizaciones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Cecilia</cp:lastModifiedBy>
  <dcterms:created xsi:type="dcterms:W3CDTF">2015-09-02T00:57:02Z</dcterms:created>
  <dcterms:modified xsi:type="dcterms:W3CDTF">2015-09-02T23:04:50Z</dcterms:modified>
</cp:coreProperties>
</file>